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codeName="ThisWorkbook"/>
  <mc:AlternateContent xmlns:mc="http://schemas.openxmlformats.org/markup-compatibility/2006">
    <mc:Choice Requires="x15">
      <x15ac:absPath xmlns:x15ac="http://schemas.microsoft.com/office/spreadsheetml/2010/11/ac" url="C:\Users\junio\Desktop\excel avansado\"/>
    </mc:Choice>
  </mc:AlternateContent>
  <xr:revisionPtr revIDLastSave="0" documentId="13_ncr:1_{C2F0DAF2-275F-45B1-994D-EF0D36D4F5D3}" xr6:coauthVersionLast="47" xr6:coauthVersionMax="47" xr10:uidLastSave="{00000000-0000-0000-0000-000000000000}"/>
  <bookViews>
    <workbookView xWindow="-120" yWindow="-120" windowWidth="20640" windowHeight="11160" xr2:uid="{00000000-000D-0000-FFFF-FFFF00000000}"/>
  </bookViews>
  <sheets>
    <sheet name="Tipos de Datos" sheetId="1" r:id="rId1"/>
    <sheet name="Imprimir Variables" sheetId="2" r:id="rId2"/>
    <sheet name="Funcion si"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2xXkCshkU2PW60lKdosydJIEQOoQh/dYXwGAV9uHZf8="/>
    </ext>
  </extLst>
</workbook>
</file>

<file path=xl/calcChain.xml><?xml version="1.0" encoding="utf-8"?>
<calcChain xmlns="http://schemas.openxmlformats.org/spreadsheetml/2006/main">
  <c r="H15" i="2" l="1"/>
  <c r="H28" i="3"/>
  <c r="H27" i="3"/>
  <c r="H26" i="3"/>
  <c r="H25" i="3"/>
  <c r="H24" i="3"/>
  <c r="G24" i="3"/>
  <c r="G23" i="3"/>
  <c r="H23" i="3"/>
  <c r="H22" i="3"/>
  <c r="G22" i="3"/>
  <c r="G21" i="3"/>
  <c r="G20" i="3"/>
  <c r="G28" i="3"/>
  <c r="D25" i="2"/>
  <c r="H23" i="2"/>
  <c r="D21" i="2"/>
  <c r="H19" i="2"/>
  <c r="D17" i="2"/>
  <c r="D13" i="2"/>
  <c r="H11" i="2"/>
  <c r="O32" i="1"/>
  <c r="L32" i="1"/>
  <c r="I32" i="1"/>
  <c r="F32" i="1"/>
  <c r="O29" i="1"/>
  <c r="L29" i="1"/>
  <c r="I29" i="1"/>
  <c r="F29" i="1"/>
  <c r="O26" i="1"/>
  <c r="L26" i="1"/>
  <c r="I26" i="1"/>
  <c r="F26" i="1"/>
  <c r="O23" i="1"/>
  <c r="L23" i="1"/>
  <c r="I23" i="1"/>
  <c r="F23" i="1"/>
  <c r="O20" i="1"/>
  <c r="L20" i="1"/>
  <c r="I20" i="1"/>
  <c r="F20" i="1"/>
  <c r="O17" i="1"/>
  <c r="L17" i="1"/>
  <c r="I17" i="1"/>
  <c r="F17" i="1"/>
  <c r="O14" i="1"/>
  <c r="L14" i="1"/>
  <c r="I14" i="1"/>
  <c r="F14" i="1"/>
  <c r="O11" i="1"/>
  <c r="L11" i="1"/>
  <c r="I11" i="1"/>
  <c r="F11" i="1"/>
  <c r="H20" i="3" l="1"/>
  <c r="H21" i="3"/>
  <c r="G25" i="3"/>
  <c r="G26" i="3"/>
  <c r="G27" i="3"/>
</calcChain>
</file>

<file path=xl/sharedStrings.xml><?xml version="1.0" encoding="utf-8"?>
<sst xmlns="http://schemas.openxmlformats.org/spreadsheetml/2006/main" count="97" uniqueCount="60">
  <si>
    <t>Menú de Variables</t>
  </si>
  <si>
    <t>Variable</t>
  </si>
  <si>
    <t xml:space="preserve">Reprobo </t>
  </si>
  <si>
    <t>Variable A</t>
  </si>
  <si>
    <t xml:space="preserve">Aprobado </t>
  </si>
  <si>
    <t>Resultado</t>
  </si>
  <si>
    <t>Nombre</t>
  </si>
  <si>
    <t xml:space="preserve">Nota </t>
  </si>
  <si>
    <t>Estado</t>
  </si>
  <si>
    <t xml:space="preserve">Juan </t>
  </si>
  <si>
    <t>Integer</t>
  </si>
  <si>
    <t>Variable B</t>
  </si>
  <si>
    <t>Obtén la suma de A + B</t>
  </si>
  <si>
    <t>Anuel</t>
  </si>
  <si>
    <t>Variable C</t>
  </si>
  <si>
    <t>Hola</t>
  </si>
  <si>
    <t>Una Tabla dinámica</t>
  </si>
  <si>
    <t>Farruko</t>
  </si>
  <si>
    <t>Variable D</t>
  </si>
  <si>
    <t>Mundo</t>
  </si>
  <si>
    <t xml:space="preserve"> concadenar  C y D</t>
  </si>
  <si>
    <t xml:space="preserve">Yennifer </t>
  </si>
  <si>
    <t>Gasapar</t>
  </si>
  <si>
    <t>Variable E</t>
  </si>
  <si>
    <t xml:space="preserve">Promedio </t>
  </si>
  <si>
    <t>Variable F</t>
  </si>
  <si>
    <t>Divide E sobre F</t>
  </si>
  <si>
    <t>Variable G</t>
  </si>
  <si>
    <t>String</t>
  </si>
  <si>
    <t>Double</t>
  </si>
  <si>
    <t>Bool</t>
  </si>
  <si>
    <t>Variable H</t>
  </si>
  <si>
    <t>Que porcentaje representa G de H?</t>
  </si>
  <si>
    <t>UTA</t>
  </si>
  <si>
    <t xml:space="preserve">Nota mas alta </t>
  </si>
  <si>
    <t>Adiós</t>
  </si>
  <si>
    <t xml:space="preserve">Nota mas baja </t>
  </si>
  <si>
    <t xml:space="preserve">Nota mas repetida </t>
  </si>
  <si>
    <t>Date</t>
  </si>
  <si>
    <t>Currency</t>
  </si>
  <si>
    <t>Byte*</t>
  </si>
  <si>
    <t xml:space="preserve">Total de Alumnos </t>
  </si>
  <si>
    <t>Numero de aprobado</t>
  </si>
  <si>
    <t>El mocho</t>
  </si>
  <si>
    <t xml:space="preserve">nuemro de reprobado </t>
  </si>
  <si>
    <t>Object</t>
  </si>
  <si>
    <t xml:space="preserve">Promedio de aprobados </t>
  </si>
  <si>
    <t>Variant*</t>
  </si>
  <si>
    <t>False</t>
  </si>
  <si>
    <t xml:space="preserve">Promedio de Rebrados </t>
  </si>
  <si>
    <t>True</t>
  </si>
  <si>
    <t>Una gráfica</t>
  </si>
  <si>
    <t>Una imagen</t>
  </si>
  <si>
    <t>El Valiente</t>
  </si>
  <si>
    <t>La frase de la vida</t>
  </si>
  <si>
    <t>El baile de la Vela</t>
  </si>
  <si>
    <t>La cumbia nopalera</t>
  </si>
  <si>
    <t>Un botón</t>
  </si>
  <si>
    <t>10&lt;=39</t>
  </si>
  <si>
    <t>40&gt;=70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</si>
</sst>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Red]\-&quot;$&quot;#,##0.00"/>
  </numFmts>
  <fonts count="7" x14ac:knownFonts="1">
    <font>
      <sz val="11"/>
      <color theme="1"/>
      <name val="Calibri"/>
      <scheme val="minor"/>
    </font>
    <font>
      <sz val="11"/>
      <color theme="1"/>
      <name val="Calibri"/>
      <family val="2"/>
      <scheme val="minor"/>
    </font>
    <font>
      <b/>
      <sz val="11"/>
      <color theme="0"/>
      <name val="Calibri"/>
      <family val="2"/>
    </font>
    <font>
      <sz val="11"/>
      <color theme="1"/>
      <name val="Calibri"/>
      <family val="2"/>
    </font>
    <font>
      <sz val="11"/>
      <color theme="1"/>
      <name val="Calibri"/>
      <family val="2"/>
      <scheme val="minor"/>
    </font>
    <font>
      <b/>
      <sz val="11"/>
      <color theme="1"/>
      <name val="Calibri"/>
      <family val="2"/>
    </font>
    <font>
      <sz val="11"/>
      <color theme="0"/>
      <name val="Calibri"/>
      <family val="2"/>
    </font>
  </fonts>
  <fills count="9">
    <fill>
      <patternFill patternType="none"/>
    </fill>
    <fill>
      <patternFill patternType="gray125"/>
    </fill>
    <fill>
      <patternFill patternType="solid">
        <fgColor theme="5"/>
        <bgColor theme="5"/>
      </patternFill>
    </fill>
    <fill>
      <patternFill patternType="solid">
        <fgColor rgb="FFC00000"/>
        <bgColor rgb="FFC00000"/>
      </patternFill>
    </fill>
    <fill>
      <patternFill patternType="solid">
        <fgColor theme="4"/>
        <bgColor theme="4"/>
      </patternFill>
    </fill>
    <fill>
      <patternFill patternType="solid">
        <fgColor rgb="FF00B050"/>
        <bgColor rgb="FF00B050"/>
      </patternFill>
    </fill>
    <fill>
      <patternFill patternType="solid">
        <fgColor rgb="FFFFD965"/>
        <bgColor rgb="FFFFD965"/>
      </patternFill>
    </fill>
    <fill>
      <patternFill patternType="solid">
        <fgColor rgb="FFFFE598"/>
        <bgColor rgb="FFFFE598"/>
      </patternFill>
    </fill>
    <fill>
      <patternFill patternType="solid">
        <fgColor theme="0"/>
        <bgColor theme="0"/>
      </patternFill>
    </fill>
  </fills>
  <borders count="8">
    <border>
      <left/>
      <right/>
      <top/>
      <bottom/>
      <diagonal/>
    </border>
    <border>
      <left style="medium">
        <color rgb="FF000000"/>
      </left>
      <right style="medium">
        <color rgb="FF000000"/>
      </right>
      <top style="medium">
        <color rgb="FF000000"/>
      </top>
      <bottom/>
      <diagonal/>
    </border>
    <border>
      <left/>
      <right/>
      <top/>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1">
    <xf numFmtId="0" fontId="0" fillId="0" borderId="0"/>
  </cellStyleXfs>
  <cellXfs count="25">
    <xf numFmtId="0" fontId="0" fillId="0" borderId="0" xfId="0"/>
    <xf numFmtId="0" fontId="2" fillId="2" borderId="1" xfId="0" applyFont="1" applyFill="1" applyBorder="1"/>
    <xf numFmtId="0" fontId="3" fillId="0" borderId="0" xfId="0" applyFont="1" applyAlignment="1">
      <alignment horizontal="center" vertical="center"/>
    </xf>
    <xf numFmtId="0" fontId="3" fillId="3" borderId="2" xfId="0" applyFont="1" applyFill="1" applyBorder="1"/>
    <xf numFmtId="0" fontId="2" fillId="4" borderId="2" xfId="0" applyFont="1" applyFill="1" applyBorder="1"/>
    <xf numFmtId="0" fontId="4" fillId="0" borderId="0" xfId="0" applyFont="1"/>
    <xf numFmtId="0" fontId="3" fillId="0" borderId="3" xfId="0" applyFont="1" applyBorder="1" applyAlignment="1">
      <alignment horizontal="center" vertical="center"/>
    </xf>
    <xf numFmtId="0" fontId="3" fillId="5" borderId="2" xfId="0" applyFont="1" applyFill="1" applyBorder="1"/>
    <xf numFmtId="0" fontId="3" fillId="0" borderId="4" xfId="0" applyFont="1" applyBorder="1"/>
    <xf numFmtId="0" fontId="3" fillId="6" borderId="5" xfId="0" applyFont="1" applyFill="1" applyBorder="1"/>
    <xf numFmtId="0" fontId="3" fillId="7" borderId="3" xfId="0" applyFont="1" applyFill="1" applyBorder="1" applyAlignment="1">
      <alignment horizontal="center" vertical="center"/>
    </xf>
    <xf numFmtId="0" fontId="3" fillId="7" borderId="3" xfId="0" applyFont="1" applyFill="1" applyBorder="1"/>
    <xf numFmtId="0" fontId="5" fillId="0" borderId="6" xfId="0" applyFont="1" applyBorder="1"/>
    <xf numFmtId="0" fontId="3" fillId="0" borderId="3" xfId="0" applyFont="1" applyBorder="1"/>
    <xf numFmtId="0" fontId="6" fillId="0" borderId="0" xfId="0" applyFont="1" applyAlignment="1">
      <alignment horizontal="center" vertical="center"/>
    </xf>
    <xf numFmtId="164" fontId="3" fillId="0" borderId="4" xfId="0" applyNumberFormat="1" applyFont="1" applyBorder="1"/>
    <xf numFmtId="0" fontId="6" fillId="8" borderId="2" xfId="0" applyFont="1" applyFill="1" applyBorder="1" applyAlignment="1">
      <alignment horizontal="center" vertical="center"/>
    </xf>
    <xf numFmtId="9" fontId="6" fillId="0" borderId="0" xfId="0" applyNumberFormat="1" applyFont="1" applyAlignment="1">
      <alignment horizontal="center" vertical="center"/>
    </xf>
    <xf numFmtId="0" fontId="3" fillId="0" borderId="0" xfId="0" applyFont="1" applyAlignment="1">
      <alignment vertical="center"/>
    </xf>
    <xf numFmtId="0" fontId="3" fillId="0" borderId="6" xfId="0" applyFont="1" applyBorder="1"/>
    <xf numFmtId="0" fontId="3" fillId="0" borderId="7" xfId="0" applyFont="1" applyBorder="1"/>
    <xf numFmtId="0" fontId="6" fillId="8" borderId="2" xfId="0" applyFont="1" applyFill="1" applyBorder="1" applyAlignment="1">
      <alignment horizontal="center"/>
    </xf>
    <xf numFmtId="14" fontId="3" fillId="0" borderId="4" xfId="0" applyNumberFormat="1" applyFont="1" applyBorder="1"/>
    <xf numFmtId="1" fontId="3" fillId="0" borderId="4" xfId="0" applyNumberFormat="1" applyFont="1" applyBorder="1"/>
    <xf numFmtId="0" fontId="1" fillId="0" borderId="0" xfId="0" applyFont="1"/>
  </cellXfs>
  <cellStyles count="1">
    <cellStyle name="Normal" xfId="0" builtinId="0"/>
  </cellStyles>
  <dxfs count="110">
    <dxf>
      <fill>
        <patternFill patternType="solid">
          <fgColor rgb="FFFF0000"/>
          <bgColor rgb="FFFF0000"/>
        </patternFill>
      </fill>
    </dxf>
    <dxf>
      <fill>
        <patternFill patternType="solid">
          <fgColor rgb="FF00B050"/>
          <bgColor rgb="FF00B05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
      <font>
        <b/>
        <color theme="0"/>
      </font>
      <fill>
        <patternFill patternType="solid">
          <fgColor theme="9"/>
          <bgColor theme="9"/>
        </patternFill>
      </fill>
    </dxf>
    <dxf>
      <font>
        <color theme="0"/>
      </font>
      <fill>
        <patternFill patternType="solid">
          <fgColor rgb="FFC00000"/>
          <bgColor rgb="FFC00000"/>
        </patternFill>
      </fill>
    </dxf>
    <dxf>
      <font>
        <color theme="0"/>
      </font>
      <fill>
        <patternFill patternType="solid">
          <fgColor theme="0"/>
          <bgColor theme="0"/>
        </patternFill>
      </fill>
    </dxf>
  </dxfs>
  <tableStyles count="1" defaultTableStyle="TableStyleMedium2" defaultPivotStyle="PivotStyleLight16">
    <tableStyle name="Invisible" pivot="0" table="0" count="0" xr9:uid="{50D0F785-D6E4-4FE9-A15E-CACB2310D9A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9" Type="http://customschemas.google.com/relationships/workbookmetadata" Target="metadata"/><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1</xdr:col>
      <xdr:colOff>361950</xdr:colOff>
      <xdr:row>1</xdr:row>
      <xdr:rowOff>47625</xdr:rowOff>
    </xdr:from>
    <xdr:ext cx="6019800" cy="990600"/>
    <xdr:sp macro="" textlink="">
      <xdr:nvSpPr>
        <xdr:cNvPr id="3" name="Shape 3">
          <a:extLst>
            <a:ext uri="{FF2B5EF4-FFF2-40B4-BE49-F238E27FC236}">
              <a16:creationId xmlns:a16="http://schemas.microsoft.com/office/drawing/2014/main" id="{00000000-0008-0000-0000-000003000000}"/>
            </a:ext>
          </a:extLst>
        </xdr:cNvPr>
        <xdr:cNvSpPr txBox="1"/>
      </xdr:nvSpPr>
      <xdr:spPr>
        <a:xfrm>
          <a:off x="2340863" y="3294225"/>
          <a:ext cx="6010275" cy="971550"/>
        </a:xfrm>
        <a:prstGeom prst="rect">
          <a:avLst/>
        </a:prstGeom>
        <a:solidFill>
          <a:schemeClr val="accent6"/>
        </a:solidFill>
        <a:ln w="12700" cap="flat" cmpd="sng">
          <a:solidFill>
            <a:srgbClr val="517E33"/>
          </a:solidFill>
          <a:prstDash val="solid"/>
          <a:miter lim="8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800" b="1">
              <a:solidFill>
                <a:schemeClr val="lt1"/>
              </a:solidFill>
              <a:latin typeface="Calibri"/>
              <a:ea typeface="Calibri"/>
              <a:cs typeface="Calibri"/>
              <a:sym typeface="Calibri"/>
            </a:rPr>
            <a:t>Instrucciones</a:t>
          </a:r>
          <a:endParaRPr sz="1400"/>
        </a:p>
        <a:p>
          <a:pPr marL="0" lvl="0" indent="0" algn="l" rtl="0">
            <a:spcBef>
              <a:spcPts val="0"/>
            </a:spcBef>
            <a:spcAft>
              <a:spcPts val="0"/>
            </a:spcAft>
            <a:buNone/>
          </a:pPr>
          <a:r>
            <a:rPr lang="en-US" sz="1100">
              <a:solidFill>
                <a:schemeClr val="lt1"/>
              </a:solidFill>
              <a:latin typeface="Calibri"/>
              <a:ea typeface="Calibri"/>
              <a:cs typeface="Calibri"/>
              <a:sym typeface="Calibri"/>
            </a:rPr>
            <a:t>Familiarízate con los diferentes tipos de variables que existen. Selecciona el tipo de variable que le corresponde a los siguientes datos.</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428625</xdr:colOff>
      <xdr:row>1</xdr:row>
      <xdr:rowOff>152400</xdr:rowOff>
    </xdr:from>
    <xdr:ext cx="6162675" cy="1066800"/>
    <xdr:sp macro="" textlink="">
      <xdr:nvSpPr>
        <xdr:cNvPr id="4" name="Shape 4">
          <a:extLst>
            <a:ext uri="{FF2B5EF4-FFF2-40B4-BE49-F238E27FC236}">
              <a16:creationId xmlns:a16="http://schemas.microsoft.com/office/drawing/2014/main" id="{00000000-0008-0000-0100-000004000000}"/>
            </a:ext>
          </a:extLst>
        </xdr:cNvPr>
        <xdr:cNvSpPr txBox="1"/>
      </xdr:nvSpPr>
      <xdr:spPr>
        <a:xfrm>
          <a:off x="2274188" y="3256125"/>
          <a:ext cx="6143625" cy="1047750"/>
        </a:xfrm>
        <a:prstGeom prst="rect">
          <a:avLst/>
        </a:prstGeom>
        <a:solidFill>
          <a:schemeClr val="accent6"/>
        </a:solidFill>
        <a:ln w="12700" cap="flat" cmpd="sng">
          <a:solidFill>
            <a:srgbClr val="517E33"/>
          </a:solidFill>
          <a:prstDash val="solid"/>
          <a:miter lim="8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800" b="1">
              <a:solidFill>
                <a:schemeClr val="lt1"/>
              </a:solidFill>
              <a:latin typeface="Calibri"/>
              <a:ea typeface="Calibri"/>
              <a:cs typeface="Calibri"/>
              <a:sym typeface="Calibri"/>
            </a:rPr>
            <a:t>Instrucciones</a:t>
          </a:r>
          <a:endParaRPr sz="1400"/>
        </a:p>
        <a:p>
          <a:pPr marL="0" lvl="0" indent="0" algn="l" rtl="0">
            <a:spcBef>
              <a:spcPts val="0"/>
            </a:spcBef>
            <a:spcAft>
              <a:spcPts val="0"/>
            </a:spcAft>
            <a:buNone/>
          </a:pPr>
          <a:r>
            <a:rPr lang="en-US" sz="1100">
              <a:solidFill>
                <a:schemeClr val="lt1"/>
              </a:solidFill>
              <a:latin typeface="Calibri"/>
              <a:ea typeface="Calibri"/>
              <a:cs typeface="Calibri"/>
              <a:sym typeface="Calibri"/>
            </a:rPr>
            <a:t>Imprime los resultados de las operaciones de la página anterior en la celdas que se te pide. </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1</xdr:col>
      <xdr:colOff>266700</xdr:colOff>
      <xdr:row>2</xdr:row>
      <xdr:rowOff>152400</xdr:rowOff>
    </xdr:from>
    <xdr:ext cx="8267700" cy="1066800"/>
    <xdr:sp macro="" textlink="">
      <xdr:nvSpPr>
        <xdr:cNvPr id="5" name="Shape 5">
          <a:extLst>
            <a:ext uri="{FF2B5EF4-FFF2-40B4-BE49-F238E27FC236}">
              <a16:creationId xmlns:a16="http://schemas.microsoft.com/office/drawing/2014/main" id="{00000000-0008-0000-0200-000005000000}"/>
            </a:ext>
          </a:extLst>
        </xdr:cNvPr>
        <xdr:cNvSpPr txBox="1"/>
      </xdr:nvSpPr>
      <xdr:spPr>
        <a:xfrm>
          <a:off x="1216913" y="3256125"/>
          <a:ext cx="8258175" cy="1047750"/>
        </a:xfrm>
        <a:prstGeom prst="rect">
          <a:avLst/>
        </a:prstGeom>
        <a:solidFill>
          <a:schemeClr val="accent6"/>
        </a:solidFill>
        <a:ln w="12700" cap="flat" cmpd="sng">
          <a:solidFill>
            <a:srgbClr val="517E33"/>
          </a:solidFill>
          <a:prstDash val="solid"/>
          <a:miter lim="8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800" b="1">
              <a:solidFill>
                <a:schemeClr val="lt1"/>
              </a:solidFill>
              <a:latin typeface="Calibri"/>
              <a:ea typeface="Calibri"/>
              <a:cs typeface="Calibri"/>
              <a:sym typeface="Calibri"/>
            </a:rPr>
            <a:t>Instrucciones</a:t>
          </a:r>
          <a:endParaRPr sz="1400"/>
        </a:p>
        <a:p>
          <a:pPr marL="0" lvl="0" indent="0" algn="l" rtl="0">
            <a:spcBef>
              <a:spcPts val="0"/>
            </a:spcBef>
            <a:spcAft>
              <a:spcPts val="0"/>
            </a:spcAft>
            <a:buNone/>
          </a:pPr>
          <a:r>
            <a:rPr lang="en-US" sz="1100">
              <a:solidFill>
                <a:schemeClr val="lt1"/>
              </a:solidFill>
              <a:latin typeface="Calibri"/>
              <a:ea typeface="Calibri"/>
              <a:cs typeface="Calibri"/>
              <a:sym typeface="Calibri"/>
            </a:rPr>
            <a:t>Un profesor quiere saber si sus alumnos Aprobaron o reprobaron la materia que se podria hacer.</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0:O1000"/>
  <sheetViews>
    <sheetView showGridLines="0" tabSelected="1" workbookViewId="0">
      <selection activeCell="E11" sqref="E11"/>
    </sheetView>
  </sheetViews>
  <sheetFormatPr baseColWidth="10" defaultColWidth="14.42578125" defaultRowHeight="15" customHeight="1" x14ac:dyDescent="0.25"/>
  <cols>
    <col min="1" max="1" width="10.7109375" customWidth="1"/>
    <col min="2" max="2" width="17.85546875" customWidth="1"/>
    <col min="3" max="3" width="10.7109375" customWidth="1"/>
    <col min="4" max="4" width="18.140625" customWidth="1"/>
    <col min="5" max="6" width="10.7109375" customWidth="1"/>
    <col min="7" max="7" width="18.140625" customWidth="1"/>
    <col min="8" max="12" width="10.7109375" customWidth="1"/>
    <col min="13" max="13" width="16.7109375" customWidth="1"/>
    <col min="14" max="26" width="10.7109375" customWidth="1"/>
  </cols>
  <sheetData>
    <row r="10" spans="2:15" x14ac:dyDescent="0.25">
      <c r="B10" s="1" t="s">
        <v>0</v>
      </c>
      <c r="D10" s="4" t="s">
        <v>1</v>
      </c>
      <c r="G10" s="4" t="s">
        <v>1</v>
      </c>
      <c r="J10" s="4" t="s">
        <v>1</v>
      </c>
      <c r="M10" s="4" t="s">
        <v>1</v>
      </c>
    </row>
    <row r="11" spans="2:15" x14ac:dyDescent="0.25">
      <c r="B11" s="12" t="s">
        <v>10</v>
      </c>
      <c r="D11" s="8">
        <v>25</v>
      </c>
      <c r="E11" s="9" t="s">
        <v>10</v>
      </c>
      <c r="F11" s="2" t="str">
        <f>IF(E11="","",IF(E11=$B$11,"✔","✘"))</f>
        <v>✔</v>
      </c>
      <c r="G11" s="8" t="s">
        <v>16</v>
      </c>
      <c r="H11" s="9"/>
      <c r="I11" s="2" t="str">
        <f>IF(H11="","",IF(H11=$B$18,"✔","✘"))</f>
        <v/>
      </c>
      <c r="J11" s="15">
        <v>500</v>
      </c>
      <c r="K11" s="9"/>
      <c r="L11" s="2" t="str">
        <f>IF(K11="","",IF(K11=$B$16,"✔","✘"))</f>
        <v/>
      </c>
      <c r="M11" s="8">
        <v>22.25</v>
      </c>
      <c r="N11" s="9"/>
      <c r="O11" s="2" t="str">
        <f>IF(N11="","",IF(N11=$B$13,"✔","✘"))</f>
        <v/>
      </c>
    </row>
    <row r="12" spans="2:15" x14ac:dyDescent="0.25">
      <c r="B12" s="12" t="s">
        <v>28</v>
      </c>
    </row>
    <row r="13" spans="2:15" x14ac:dyDescent="0.25">
      <c r="B13" s="12" t="s">
        <v>29</v>
      </c>
      <c r="D13" s="4" t="s">
        <v>1</v>
      </c>
      <c r="G13" s="4" t="s">
        <v>1</v>
      </c>
      <c r="J13" s="4" t="s">
        <v>1</v>
      </c>
      <c r="M13" s="4" t="s">
        <v>1</v>
      </c>
    </row>
    <row r="14" spans="2:15" x14ac:dyDescent="0.25">
      <c r="B14" s="12" t="s">
        <v>30</v>
      </c>
      <c r="D14" s="8" t="s">
        <v>15</v>
      </c>
      <c r="E14" s="9"/>
      <c r="F14" s="2" t="str">
        <f>IF(E14="","",IF(E14=$B$12,"✔","✘"))</f>
        <v/>
      </c>
      <c r="G14" s="8" t="s">
        <v>33</v>
      </c>
      <c r="H14" s="9"/>
      <c r="I14" s="2" t="str">
        <f>IF(H14="","",IF(H14=$B$12,"✔","✘"))</f>
        <v/>
      </c>
      <c r="J14" s="8">
        <v>589712</v>
      </c>
      <c r="K14" s="9"/>
      <c r="L14" s="2" t="str">
        <f>IF(K14="","",IF(K14=$B$11,"✔","✘"))</f>
        <v/>
      </c>
      <c r="M14" s="8" t="s">
        <v>35</v>
      </c>
      <c r="N14" s="9"/>
      <c r="O14" s="2" t="str">
        <f>IF(N14="","",IF(N14=$B$12,"✔","✘"))</f>
        <v/>
      </c>
    </row>
    <row r="15" spans="2:15" x14ac:dyDescent="0.25">
      <c r="B15" s="19" t="s">
        <v>38</v>
      </c>
    </row>
    <row r="16" spans="2:15" x14ac:dyDescent="0.25">
      <c r="B16" s="19" t="s">
        <v>39</v>
      </c>
      <c r="D16" s="4" t="s">
        <v>1</v>
      </c>
      <c r="G16" s="4" t="s">
        <v>1</v>
      </c>
      <c r="J16" s="4" t="s">
        <v>1</v>
      </c>
      <c r="M16" s="4" t="s">
        <v>1</v>
      </c>
    </row>
    <row r="17" spans="2:15" x14ac:dyDescent="0.25">
      <c r="B17" s="19" t="s">
        <v>40</v>
      </c>
      <c r="D17" s="8">
        <v>5.28</v>
      </c>
      <c r="E17" s="9"/>
      <c r="F17" s="2" t="str">
        <f>IF(E17="","",IF(E17=$B$13,"✔","✘"))</f>
        <v/>
      </c>
      <c r="G17" s="8">
        <v>1</v>
      </c>
      <c r="H17" s="9"/>
      <c r="I17" s="2" t="str">
        <f>IF(H17="","",IF(H17=$B$14,"✔","✘"))</f>
        <v/>
      </c>
      <c r="J17" s="8">
        <v>728.25</v>
      </c>
      <c r="K17" s="9"/>
      <c r="L17" s="2" t="str">
        <f>IF(K17="","",IF(K17=$B$13,"✔","✘"))</f>
        <v/>
      </c>
      <c r="M17" s="8" t="s">
        <v>43</v>
      </c>
      <c r="N17" s="9"/>
      <c r="O17" s="2" t="str">
        <f>IF(N17="","",IF(N17=$B$12,"✔","✘"))</f>
        <v/>
      </c>
    </row>
    <row r="18" spans="2:15" x14ac:dyDescent="0.25">
      <c r="B18" s="19" t="s">
        <v>45</v>
      </c>
    </row>
    <row r="19" spans="2:15" x14ac:dyDescent="0.25">
      <c r="B19" s="20" t="s">
        <v>47</v>
      </c>
      <c r="D19" s="4" t="s">
        <v>1</v>
      </c>
      <c r="G19" s="4" t="s">
        <v>1</v>
      </c>
      <c r="J19" s="4" t="s">
        <v>1</v>
      </c>
      <c r="M19" s="4" t="s">
        <v>1</v>
      </c>
    </row>
    <row r="20" spans="2:15" x14ac:dyDescent="0.25">
      <c r="D20" s="8" t="s">
        <v>48</v>
      </c>
      <c r="E20" s="9"/>
      <c r="F20" s="2" t="str">
        <f>IF(E20="","",IF(E20=$B$14,"✔","✘"))</f>
        <v/>
      </c>
      <c r="G20" s="22">
        <v>42394</v>
      </c>
      <c r="H20" s="9"/>
      <c r="I20" s="2" t="str">
        <f>IF(H20="","",IF(H20=$B$15,"✔","✘"))</f>
        <v/>
      </c>
      <c r="J20" s="8" t="s">
        <v>50</v>
      </c>
      <c r="K20" s="9"/>
      <c r="L20" s="2" t="str">
        <f>IF(K20="","",IF(K20=$B$14,"✔","✘"))</f>
        <v/>
      </c>
      <c r="M20" s="8" t="s">
        <v>51</v>
      </c>
      <c r="N20" s="9"/>
      <c r="O20" s="2" t="str">
        <f>IF(N20="","",IF(N20=$B$18,"✔","✘"))</f>
        <v/>
      </c>
    </row>
    <row r="21" spans="2:15" ht="15.75" customHeight="1" x14ac:dyDescent="0.25"/>
    <row r="22" spans="2:15" ht="15.75" customHeight="1" x14ac:dyDescent="0.25">
      <c r="D22" s="4" t="s">
        <v>1</v>
      </c>
      <c r="G22" s="4" t="s">
        <v>1</v>
      </c>
      <c r="J22" s="4" t="s">
        <v>1</v>
      </c>
      <c r="M22" s="4" t="s">
        <v>1</v>
      </c>
    </row>
    <row r="23" spans="2:15" ht="15.75" customHeight="1" x14ac:dyDescent="0.25">
      <c r="D23" s="8">
        <v>75</v>
      </c>
      <c r="E23" s="9"/>
      <c r="F23" s="2" t="str">
        <f>IF(E23="","",IF(E23=$B$11,"✔","✘"))</f>
        <v/>
      </c>
      <c r="G23" s="8" t="s">
        <v>52</v>
      </c>
      <c r="H23" s="9"/>
      <c r="I23" s="2" t="str">
        <f>IF(H23="","",IF(H23=$B$18,"✔","✘"))</f>
        <v/>
      </c>
      <c r="J23" s="15">
        <v>8524</v>
      </c>
      <c r="K23" s="9"/>
      <c r="L23" s="2" t="str">
        <f>IF(K23="","",IF(K23=$B$16,"✔","✘"))</f>
        <v/>
      </c>
      <c r="M23" s="8">
        <v>845.24</v>
      </c>
      <c r="N23" s="9"/>
      <c r="O23" s="2" t="str">
        <f>IF(N23="","",IF(N23=$B$13,"✔","✘"))</f>
        <v/>
      </c>
    </row>
    <row r="24" spans="2:15" ht="15.75" customHeight="1" x14ac:dyDescent="0.25"/>
    <row r="25" spans="2:15" ht="15.75" customHeight="1" x14ac:dyDescent="0.25">
      <c r="D25" s="4" t="s">
        <v>1</v>
      </c>
      <c r="G25" s="4" t="s">
        <v>1</v>
      </c>
      <c r="J25" s="4" t="s">
        <v>1</v>
      </c>
      <c r="M25" s="4" t="s">
        <v>1</v>
      </c>
    </row>
    <row r="26" spans="2:15" ht="15.75" customHeight="1" x14ac:dyDescent="0.25">
      <c r="D26" s="8" t="s">
        <v>53</v>
      </c>
      <c r="E26" s="9"/>
      <c r="F26" s="2" t="str">
        <f>IF(E26="","",IF(E26=$B$12,"✔","✘"))</f>
        <v/>
      </c>
      <c r="G26" s="8" t="s">
        <v>54</v>
      </c>
      <c r="H26" s="9"/>
      <c r="I26" s="2" t="str">
        <f>IF(H26="","",IF(H26=$B$12,"✔","✘"))</f>
        <v/>
      </c>
      <c r="J26" s="8" t="s">
        <v>50</v>
      </c>
      <c r="K26" s="9"/>
      <c r="L26" s="2" t="str">
        <f>IF(K26="","",IF(K26=$B$14,"✔","✘"))</f>
        <v/>
      </c>
      <c r="M26" s="8" t="s">
        <v>55</v>
      </c>
      <c r="N26" s="9"/>
      <c r="O26" s="2" t="str">
        <f>IF(N26="","",IF(N26=$B$12,"✔","✘"))</f>
        <v/>
      </c>
    </row>
    <row r="27" spans="2:15" ht="15.75" customHeight="1" x14ac:dyDescent="0.25"/>
    <row r="28" spans="2:15" ht="15.75" customHeight="1" x14ac:dyDescent="0.25">
      <c r="D28" s="4" t="s">
        <v>1</v>
      </c>
      <c r="G28" s="4" t="s">
        <v>1</v>
      </c>
      <c r="J28" s="4" t="s">
        <v>1</v>
      </c>
      <c r="M28" s="4" t="s">
        <v>1</v>
      </c>
    </row>
    <row r="29" spans="2:15" ht="15.75" customHeight="1" x14ac:dyDescent="0.25">
      <c r="D29" s="8">
        <v>7.82</v>
      </c>
      <c r="E29" s="9"/>
      <c r="F29" s="2" t="str">
        <f>IF(E29="","",IF(E29=$B$13,"✔","✘"))</f>
        <v/>
      </c>
      <c r="G29" s="23">
        <v>0.1</v>
      </c>
      <c r="H29" s="9"/>
      <c r="I29" s="2" t="str">
        <f>IF(H29="","",IF(H29=$B$14,"✔","✘"))</f>
        <v/>
      </c>
      <c r="J29" s="8">
        <v>728.25</v>
      </c>
      <c r="K29" s="9"/>
      <c r="L29" s="2" t="str">
        <f>IF(K29="","",IF(K29=$B$13,"✔","✘"))</f>
        <v/>
      </c>
      <c r="M29" s="8">
        <v>44</v>
      </c>
      <c r="N29" s="9"/>
      <c r="O29" s="2" t="str">
        <f>IF(N29="","",IF(N29=$B$11,"✔","✘"))</f>
        <v/>
      </c>
    </row>
    <row r="30" spans="2:15" ht="15.75" customHeight="1" x14ac:dyDescent="0.25"/>
    <row r="31" spans="2:15" ht="15.75" customHeight="1" x14ac:dyDescent="0.25">
      <c r="D31" s="4" t="s">
        <v>1</v>
      </c>
      <c r="G31" s="4" t="s">
        <v>1</v>
      </c>
      <c r="J31" s="4" t="s">
        <v>1</v>
      </c>
      <c r="M31" s="4" t="s">
        <v>1</v>
      </c>
    </row>
    <row r="32" spans="2:15" ht="15.75" customHeight="1" x14ac:dyDescent="0.25">
      <c r="D32" s="8" t="s">
        <v>56</v>
      </c>
      <c r="E32" s="9"/>
      <c r="F32" s="2" t="str">
        <f>IF(E32="","",IF(E32=$B$12,"✔","✘"))</f>
        <v/>
      </c>
      <c r="G32" s="22">
        <v>40783</v>
      </c>
      <c r="H32" s="9"/>
      <c r="I32" s="2" t="str">
        <f>IF(H32="","",IF(H32=$B$15,"✔","✘"))</f>
        <v/>
      </c>
      <c r="J32" s="8">
        <v>52</v>
      </c>
      <c r="K32" s="9"/>
      <c r="L32" s="2" t="str">
        <f>IF(K32="","",IF(K32=$B$11,"✔","✘"))</f>
        <v/>
      </c>
      <c r="M32" s="8" t="s">
        <v>57</v>
      </c>
      <c r="N32" s="9"/>
      <c r="O32" s="2" t="str">
        <f>IF(N32="","",IF(N32=$B$18,"✔","✘"))</f>
        <v/>
      </c>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conditionalFormatting sqref="F11">
    <cfRule type="containsBlanks" dxfId="109" priority="1">
      <formula>LEN(TRIM(F11))=0</formula>
    </cfRule>
  </conditionalFormatting>
  <conditionalFormatting sqref="F11">
    <cfRule type="containsText" dxfId="108" priority="2" operator="containsText" text="✘">
      <formula>NOT(ISERROR(SEARCH(("✘"),(F11))))</formula>
    </cfRule>
  </conditionalFormatting>
  <conditionalFormatting sqref="F11">
    <cfRule type="containsText" dxfId="107" priority="3" operator="containsText" text="✔">
      <formula>NOT(ISERROR(SEARCH(("✔"),(F11))))</formula>
    </cfRule>
  </conditionalFormatting>
  <conditionalFormatting sqref="F14">
    <cfRule type="containsBlanks" dxfId="106" priority="4">
      <formula>LEN(TRIM(F14))=0</formula>
    </cfRule>
  </conditionalFormatting>
  <conditionalFormatting sqref="F14">
    <cfRule type="containsText" dxfId="105" priority="5" operator="containsText" text="✘">
      <formula>NOT(ISERROR(SEARCH(("✘"),(F14))))</formula>
    </cfRule>
  </conditionalFormatting>
  <conditionalFormatting sqref="F14">
    <cfRule type="containsText" dxfId="104" priority="6" operator="containsText" text="✔">
      <formula>NOT(ISERROR(SEARCH(("✔"),(F14))))</formula>
    </cfRule>
  </conditionalFormatting>
  <conditionalFormatting sqref="F17">
    <cfRule type="containsBlanks" dxfId="103" priority="7">
      <formula>LEN(TRIM(F17))=0</formula>
    </cfRule>
  </conditionalFormatting>
  <conditionalFormatting sqref="F17">
    <cfRule type="containsText" dxfId="102" priority="8" operator="containsText" text="✘">
      <formula>NOT(ISERROR(SEARCH(("✘"),(F17))))</formula>
    </cfRule>
  </conditionalFormatting>
  <conditionalFormatting sqref="F17">
    <cfRule type="containsText" dxfId="101" priority="9" operator="containsText" text="✔">
      <formula>NOT(ISERROR(SEARCH(("✔"),(F17))))</formula>
    </cfRule>
  </conditionalFormatting>
  <conditionalFormatting sqref="F20">
    <cfRule type="containsBlanks" dxfId="100" priority="10">
      <formula>LEN(TRIM(F20))=0</formula>
    </cfRule>
  </conditionalFormatting>
  <conditionalFormatting sqref="F20">
    <cfRule type="containsText" dxfId="99" priority="11" operator="containsText" text="✘">
      <formula>NOT(ISERROR(SEARCH(("✘"),(F20))))</formula>
    </cfRule>
  </conditionalFormatting>
  <conditionalFormatting sqref="F20">
    <cfRule type="containsText" dxfId="98" priority="12" operator="containsText" text="✔">
      <formula>NOT(ISERROR(SEARCH(("✔"),(F20))))</formula>
    </cfRule>
  </conditionalFormatting>
  <conditionalFormatting sqref="F23">
    <cfRule type="containsBlanks" dxfId="97" priority="13">
      <formula>LEN(TRIM(F23))=0</formula>
    </cfRule>
  </conditionalFormatting>
  <conditionalFormatting sqref="F23">
    <cfRule type="containsText" dxfId="96" priority="14" operator="containsText" text="✘">
      <formula>NOT(ISERROR(SEARCH(("✘"),(F23))))</formula>
    </cfRule>
  </conditionalFormatting>
  <conditionalFormatting sqref="F23">
    <cfRule type="containsText" dxfId="95" priority="15" operator="containsText" text="✔">
      <formula>NOT(ISERROR(SEARCH(("✔"),(F23))))</formula>
    </cfRule>
  </conditionalFormatting>
  <conditionalFormatting sqref="F26">
    <cfRule type="containsBlanks" dxfId="94" priority="16">
      <formula>LEN(TRIM(F26))=0</formula>
    </cfRule>
  </conditionalFormatting>
  <conditionalFormatting sqref="F26">
    <cfRule type="containsText" dxfId="93" priority="17" operator="containsText" text="✘">
      <formula>NOT(ISERROR(SEARCH(("✘"),(F26))))</formula>
    </cfRule>
  </conditionalFormatting>
  <conditionalFormatting sqref="F26">
    <cfRule type="containsText" dxfId="92" priority="18" operator="containsText" text="✔">
      <formula>NOT(ISERROR(SEARCH(("✔"),(F26))))</formula>
    </cfRule>
  </conditionalFormatting>
  <conditionalFormatting sqref="F29">
    <cfRule type="containsBlanks" dxfId="91" priority="19">
      <formula>LEN(TRIM(F29))=0</formula>
    </cfRule>
  </conditionalFormatting>
  <conditionalFormatting sqref="F29">
    <cfRule type="containsText" dxfId="90" priority="20" operator="containsText" text="✘">
      <formula>NOT(ISERROR(SEARCH(("✘"),(F29))))</formula>
    </cfRule>
  </conditionalFormatting>
  <conditionalFormatting sqref="F29">
    <cfRule type="containsText" dxfId="89" priority="21" operator="containsText" text="✔">
      <formula>NOT(ISERROR(SEARCH(("✔"),(F29))))</formula>
    </cfRule>
  </conditionalFormatting>
  <conditionalFormatting sqref="F32">
    <cfRule type="containsBlanks" dxfId="88" priority="22">
      <formula>LEN(TRIM(F32))=0</formula>
    </cfRule>
  </conditionalFormatting>
  <conditionalFormatting sqref="F32">
    <cfRule type="containsText" dxfId="87" priority="23" operator="containsText" text="✘">
      <formula>NOT(ISERROR(SEARCH(("✘"),(F32))))</formula>
    </cfRule>
  </conditionalFormatting>
  <conditionalFormatting sqref="F32">
    <cfRule type="containsText" dxfId="86" priority="24" operator="containsText" text="✔">
      <formula>NOT(ISERROR(SEARCH(("✔"),(F32))))</formula>
    </cfRule>
  </conditionalFormatting>
  <conditionalFormatting sqref="I11">
    <cfRule type="containsBlanks" dxfId="85" priority="25">
      <formula>LEN(TRIM(I11))=0</formula>
    </cfRule>
  </conditionalFormatting>
  <conditionalFormatting sqref="I11">
    <cfRule type="containsText" dxfId="84" priority="26" operator="containsText" text="✘">
      <formula>NOT(ISERROR(SEARCH(("✘"),(I11))))</formula>
    </cfRule>
  </conditionalFormatting>
  <conditionalFormatting sqref="I11">
    <cfRule type="containsText" dxfId="83" priority="27" operator="containsText" text="✔">
      <formula>NOT(ISERROR(SEARCH(("✔"),(I11))))</formula>
    </cfRule>
  </conditionalFormatting>
  <conditionalFormatting sqref="I14">
    <cfRule type="containsBlanks" dxfId="82" priority="28">
      <formula>LEN(TRIM(I14))=0</formula>
    </cfRule>
  </conditionalFormatting>
  <conditionalFormatting sqref="I14">
    <cfRule type="containsText" dxfId="81" priority="29" operator="containsText" text="✘">
      <formula>NOT(ISERROR(SEARCH(("✘"),(I14))))</formula>
    </cfRule>
  </conditionalFormatting>
  <conditionalFormatting sqref="I14">
    <cfRule type="containsText" dxfId="80" priority="30" operator="containsText" text="✔">
      <formula>NOT(ISERROR(SEARCH(("✔"),(I14))))</formula>
    </cfRule>
  </conditionalFormatting>
  <conditionalFormatting sqref="I17">
    <cfRule type="containsBlanks" dxfId="79" priority="31">
      <formula>LEN(TRIM(I17))=0</formula>
    </cfRule>
  </conditionalFormatting>
  <conditionalFormatting sqref="I17">
    <cfRule type="containsText" dxfId="78" priority="32" operator="containsText" text="✘">
      <formula>NOT(ISERROR(SEARCH(("✘"),(I17))))</formula>
    </cfRule>
  </conditionalFormatting>
  <conditionalFormatting sqref="I17">
    <cfRule type="containsText" dxfId="77" priority="33" operator="containsText" text="✔">
      <formula>NOT(ISERROR(SEARCH(("✔"),(I17))))</formula>
    </cfRule>
  </conditionalFormatting>
  <conditionalFormatting sqref="I20">
    <cfRule type="containsBlanks" dxfId="76" priority="34">
      <formula>LEN(TRIM(I20))=0</formula>
    </cfRule>
  </conditionalFormatting>
  <conditionalFormatting sqref="I20">
    <cfRule type="containsText" dxfId="75" priority="35" operator="containsText" text="✘">
      <formula>NOT(ISERROR(SEARCH(("✘"),(I20))))</formula>
    </cfRule>
  </conditionalFormatting>
  <conditionalFormatting sqref="I20">
    <cfRule type="containsText" dxfId="74" priority="36" operator="containsText" text="✔">
      <formula>NOT(ISERROR(SEARCH(("✔"),(I20))))</formula>
    </cfRule>
  </conditionalFormatting>
  <conditionalFormatting sqref="I23">
    <cfRule type="containsBlanks" dxfId="73" priority="37">
      <formula>LEN(TRIM(I23))=0</formula>
    </cfRule>
  </conditionalFormatting>
  <conditionalFormatting sqref="I23">
    <cfRule type="containsText" dxfId="72" priority="38" operator="containsText" text="✘">
      <formula>NOT(ISERROR(SEARCH(("✘"),(I23))))</formula>
    </cfRule>
  </conditionalFormatting>
  <conditionalFormatting sqref="I23">
    <cfRule type="containsText" dxfId="71" priority="39" operator="containsText" text="✔">
      <formula>NOT(ISERROR(SEARCH(("✔"),(I23))))</formula>
    </cfRule>
  </conditionalFormatting>
  <conditionalFormatting sqref="I26">
    <cfRule type="containsBlanks" dxfId="70" priority="40">
      <formula>LEN(TRIM(I26))=0</formula>
    </cfRule>
  </conditionalFormatting>
  <conditionalFormatting sqref="I26">
    <cfRule type="containsText" dxfId="69" priority="41" operator="containsText" text="✘">
      <formula>NOT(ISERROR(SEARCH(("✘"),(I26))))</formula>
    </cfRule>
  </conditionalFormatting>
  <conditionalFormatting sqref="I26">
    <cfRule type="containsText" dxfId="68" priority="42" operator="containsText" text="✔">
      <formula>NOT(ISERROR(SEARCH(("✔"),(I26))))</formula>
    </cfRule>
  </conditionalFormatting>
  <conditionalFormatting sqref="I29">
    <cfRule type="containsBlanks" dxfId="67" priority="43">
      <formula>LEN(TRIM(I29))=0</formula>
    </cfRule>
  </conditionalFormatting>
  <conditionalFormatting sqref="I29">
    <cfRule type="containsText" dxfId="66" priority="44" operator="containsText" text="✘">
      <formula>NOT(ISERROR(SEARCH(("✘"),(I29))))</formula>
    </cfRule>
  </conditionalFormatting>
  <conditionalFormatting sqref="I29">
    <cfRule type="containsText" dxfId="65" priority="45" operator="containsText" text="✔">
      <formula>NOT(ISERROR(SEARCH(("✔"),(I29))))</formula>
    </cfRule>
  </conditionalFormatting>
  <conditionalFormatting sqref="I32">
    <cfRule type="containsBlanks" dxfId="64" priority="46">
      <formula>LEN(TRIM(I32))=0</formula>
    </cfRule>
  </conditionalFormatting>
  <conditionalFormatting sqref="I32">
    <cfRule type="containsText" dxfId="63" priority="47" operator="containsText" text="✘">
      <formula>NOT(ISERROR(SEARCH(("✘"),(I32))))</formula>
    </cfRule>
  </conditionalFormatting>
  <conditionalFormatting sqref="I32">
    <cfRule type="containsText" dxfId="62" priority="48" operator="containsText" text="✔">
      <formula>NOT(ISERROR(SEARCH(("✔"),(I32))))</formula>
    </cfRule>
  </conditionalFormatting>
  <conditionalFormatting sqref="L11">
    <cfRule type="containsBlanks" dxfId="61" priority="49">
      <formula>LEN(TRIM(L11))=0</formula>
    </cfRule>
  </conditionalFormatting>
  <conditionalFormatting sqref="L11">
    <cfRule type="containsText" dxfId="60" priority="50" operator="containsText" text="✘">
      <formula>NOT(ISERROR(SEARCH(("✘"),(L11))))</formula>
    </cfRule>
  </conditionalFormatting>
  <conditionalFormatting sqref="L11">
    <cfRule type="containsText" dxfId="59" priority="51" operator="containsText" text="✔">
      <formula>NOT(ISERROR(SEARCH(("✔"),(L11))))</formula>
    </cfRule>
  </conditionalFormatting>
  <conditionalFormatting sqref="L14">
    <cfRule type="containsBlanks" dxfId="58" priority="52">
      <formula>LEN(TRIM(L14))=0</formula>
    </cfRule>
  </conditionalFormatting>
  <conditionalFormatting sqref="L14">
    <cfRule type="containsText" dxfId="57" priority="53" operator="containsText" text="✘">
      <formula>NOT(ISERROR(SEARCH(("✘"),(L14))))</formula>
    </cfRule>
  </conditionalFormatting>
  <conditionalFormatting sqref="L14">
    <cfRule type="containsText" dxfId="56" priority="54" operator="containsText" text="✔">
      <formula>NOT(ISERROR(SEARCH(("✔"),(L14))))</formula>
    </cfRule>
  </conditionalFormatting>
  <conditionalFormatting sqref="L17">
    <cfRule type="containsBlanks" dxfId="55" priority="55">
      <formula>LEN(TRIM(L17))=0</formula>
    </cfRule>
  </conditionalFormatting>
  <conditionalFormatting sqref="L17">
    <cfRule type="containsText" dxfId="54" priority="56" operator="containsText" text="✘">
      <formula>NOT(ISERROR(SEARCH(("✘"),(L17))))</formula>
    </cfRule>
  </conditionalFormatting>
  <conditionalFormatting sqref="L17">
    <cfRule type="containsText" dxfId="53" priority="57" operator="containsText" text="✔">
      <formula>NOT(ISERROR(SEARCH(("✔"),(L17))))</formula>
    </cfRule>
  </conditionalFormatting>
  <conditionalFormatting sqref="L20">
    <cfRule type="containsBlanks" dxfId="52" priority="58">
      <formula>LEN(TRIM(L20))=0</formula>
    </cfRule>
  </conditionalFormatting>
  <conditionalFormatting sqref="L20">
    <cfRule type="containsText" dxfId="51" priority="59" operator="containsText" text="✘">
      <formula>NOT(ISERROR(SEARCH(("✘"),(L20))))</formula>
    </cfRule>
  </conditionalFormatting>
  <conditionalFormatting sqref="L20">
    <cfRule type="containsText" dxfId="50" priority="60" operator="containsText" text="✔">
      <formula>NOT(ISERROR(SEARCH(("✔"),(L20))))</formula>
    </cfRule>
  </conditionalFormatting>
  <conditionalFormatting sqref="L23">
    <cfRule type="containsBlanks" dxfId="49" priority="61">
      <formula>LEN(TRIM(L23))=0</formula>
    </cfRule>
  </conditionalFormatting>
  <conditionalFormatting sqref="L23">
    <cfRule type="containsText" dxfId="48" priority="62" operator="containsText" text="✘">
      <formula>NOT(ISERROR(SEARCH(("✘"),(L23))))</formula>
    </cfRule>
  </conditionalFormatting>
  <conditionalFormatting sqref="L23">
    <cfRule type="containsText" dxfId="47" priority="63" operator="containsText" text="✔">
      <formula>NOT(ISERROR(SEARCH(("✔"),(L23))))</formula>
    </cfRule>
  </conditionalFormatting>
  <conditionalFormatting sqref="L26">
    <cfRule type="containsBlanks" dxfId="46" priority="64">
      <formula>LEN(TRIM(L26))=0</formula>
    </cfRule>
  </conditionalFormatting>
  <conditionalFormatting sqref="L26">
    <cfRule type="containsText" dxfId="45" priority="65" operator="containsText" text="✘">
      <formula>NOT(ISERROR(SEARCH(("✘"),(L26))))</formula>
    </cfRule>
  </conditionalFormatting>
  <conditionalFormatting sqref="L26">
    <cfRule type="containsText" dxfId="44" priority="66" operator="containsText" text="✔">
      <formula>NOT(ISERROR(SEARCH(("✔"),(L26))))</formula>
    </cfRule>
  </conditionalFormatting>
  <conditionalFormatting sqref="L29">
    <cfRule type="containsBlanks" dxfId="43" priority="67">
      <formula>LEN(TRIM(L29))=0</formula>
    </cfRule>
  </conditionalFormatting>
  <conditionalFormatting sqref="L29">
    <cfRule type="containsText" dxfId="42" priority="68" operator="containsText" text="✘">
      <formula>NOT(ISERROR(SEARCH(("✘"),(L29))))</formula>
    </cfRule>
  </conditionalFormatting>
  <conditionalFormatting sqref="L29">
    <cfRule type="containsText" dxfId="41" priority="69" operator="containsText" text="✔">
      <formula>NOT(ISERROR(SEARCH(("✔"),(L29))))</formula>
    </cfRule>
  </conditionalFormatting>
  <conditionalFormatting sqref="L32">
    <cfRule type="containsBlanks" dxfId="40" priority="70">
      <formula>LEN(TRIM(L32))=0</formula>
    </cfRule>
  </conditionalFormatting>
  <conditionalFormatting sqref="L32">
    <cfRule type="containsText" dxfId="39" priority="71" operator="containsText" text="✘">
      <formula>NOT(ISERROR(SEARCH(("✘"),(L32))))</formula>
    </cfRule>
  </conditionalFormatting>
  <conditionalFormatting sqref="L32">
    <cfRule type="containsText" dxfId="38" priority="72" operator="containsText" text="✔">
      <formula>NOT(ISERROR(SEARCH(("✔"),(L32))))</formula>
    </cfRule>
  </conditionalFormatting>
  <conditionalFormatting sqref="O11">
    <cfRule type="containsBlanks" dxfId="37" priority="73">
      <formula>LEN(TRIM(O11))=0</formula>
    </cfRule>
  </conditionalFormatting>
  <conditionalFormatting sqref="O11">
    <cfRule type="containsText" dxfId="36" priority="74" operator="containsText" text="✘">
      <formula>NOT(ISERROR(SEARCH(("✘"),(O11))))</formula>
    </cfRule>
  </conditionalFormatting>
  <conditionalFormatting sqref="O11">
    <cfRule type="containsText" dxfId="35" priority="75" operator="containsText" text="✔">
      <formula>NOT(ISERROR(SEARCH(("✔"),(O11))))</formula>
    </cfRule>
  </conditionalFormatting>
  <conditionalFormatting sqref="O14">
    <cfRule type="containsBlanks" dxfId="34" priority="76">
      <formula>LEN(TRIM(O14))=0</formula>
    </cfRule>
  </conditionalFormatting>
  <conditionalFormatting sqref="O14">
    <cfRule type="containsText" dxfId="33" priority="77" operator="containsText" text="✘">
      <formula>NOT(ISERROR(SEARCH(("✘"),(O14))))</formula>
    </cfRule>
  </conditionalFormatting>
  <conditionalFormatting sqref="O14">
    <cfRule type="containsText" dxfId="32" priority="78" operator="containsText" text="✔">
      <formula>NOT(ISERROR(SEARCH(("✔"),(O14))))</formula>
    </cfRule>
  </conditionalFormatting>
  <conditionalFormatting sqref="O17">
    <cfRule type="containsBlanks" dxfId="31" priority="79">
      <formula>LEN(TRIM(O17))=0</formula>
    </cfRule>
  </conditionalFormatting>
  <conditionalFormatting sqref="O17">
    <cfRule type="containsText" dxfId="30" priority="80" operator="containsText" text="✘">
      <formula>NOT(ISERROR(SEARCH(("✘"),(O17))))</formula>
    </cfRule>
  </conditionalFormatting>
  <conditionalFormatting sqref="O17">
    <cfRule type="containsText" dxfId="29" priority="81" operator="containsText" text="✔">
      <formula>NOT(ISERROR(SEARCH(("✔"),(O17))))</formula>
    </cfRule>
  </conditionalFormatting>
  <conditionalFormatting sqref="O20">
    <cfRule type="containsBlanks" dxfId="28" priority="82">
      <formula>LEN(TRIM(O20))=0</formula>
    </cfRule>
  </conditionalFormatting>
  <conditionalFormatting sqref="O20">
    <cfRule type="containsText" dxfId="27" priority="83" operator="containsText" text="✘">
      <formula>NOT(ISERROR(SEARCH(("✘"),(O20))))</formula>
    </cfRule>
  </conditionalFormatting>
  <conditionalFormatting sqref="O20">
    <cfRule type="containsText" dxfId="26" priority="84" operator="containsText" text="✔">
      <formula>NOT(ISERROR(SEARCH(("✔"),(O20))))</formula>
    </cfRule>
  </conditionalFormatting>
  <conditionalFormatting sqref="O23">
    <cfRule type="containsBlanks" dxfId="25" priority="85">
      <formula>LEN(TRIM(O23))=0</formula>
    </cfRule>
  </conditionalFormatting>
  <conditionalFormatting sqref="O23">
    <cfRule type="containsText" dxfId="24" priority="86" operator="containsText" text="✘">
      <formula>NOT(ISERROR(SEARCH(("✘"),(O23))))</formula>
    </cfRule>
  </conditionalFormatting>
  <conditionalFormatting sqref="O23">
    <cfRule type="containsText" dxfId="23" priority="87" operator="containsText" text="✔">
      <formula>NOT(ISERROR(SEARCH(("✔"),(O23))))</formula>
    </cfRule>
  </conditionalFormatting>
  <conditionalFormatting sqref="O26">
    <cfRule type="containsBlanks" dxfId="22" priority="88">
      <formula>LEN(TRIM(O26))=0</formula>
    </cfRule>
  </conditionalFormatting>
  <conditionalFormatting sqref="O26">
    <cfRule type="containsText" dxfId="21" priority="89" operator="containsText" text="✘">
      <formula>NOT(ISERROR(SEARCH(("✘"),(O26))))</formula>
    </cfRule>
  </conditionalFormatting>
  <conditionalFormatting sqref="O26">
    <cfRule type="containsText" dxfId="20" priority="90" operator="containsText" text="✔">
      <formula>NOT(ISERROR(SEARCH(("✔"),(O26))))</formula>
    </cfRule>
  </conditionalFormatting>
  <conditionalFormatting sqref="O29">
    <cfRule type="containsBlanks" dxfId="19" priority="91">
      <formula>LEN(TRIM(O29))=0</formula>
    </cfRule>
  </conditionalFormatting>
  <conditionalFormatting sqref="O29">
    <cfRule type="containsText" dxfId="18" priority="92" operator="containsText" text="✘">
      <formula>NOT(ISERROR(SEARCH(("✘"),(O29))))</formula>
    </cfRule>
  </conditionalFormatting>
  <conditionalFormatting sqref="O29">
    <cfRule type="containsText" dxfId="17" priority="93" operator="containsText" text="✔">
      <formula>NOT(ISERROR(SEARCH(("✔"),(O29))))</formula>
    </cfRule>
  </conditionalFormatting>
  <conditionalFormatting sqref="O32">
    <cfRule type="containsBlanks" dxfId="16" priority="94">
      <formula>LEN(TRIM(O32))=0</formula>
    </cfRule>
  </conditionalFormatting>
  <conditionalFormatting sqref="O32">
    <cfRule type="containsText" dxfId="15" priority="95" operator="containsText" text="✘">
      <formula>NOT(ISERROR(SEARCH(("✘"),(O32))))</formula>
    </cfRule>
  </conditionalFormatting>
  <conditionalFormatting sqref="O32">
    <cfRule type="containsText" dxfId="14" priority="96" operator="containsText" text="✔">
      <formula>NOT(ISERROR(SEARCH(("✔"),(O32))))</formula>
    </cfRule>
  </conditionalFormatting>
  <dataValidations count="1">
    <dataValidation type="list" allowBlank="1" showErrorMessage="1" sqref="E11 H11 K11 N11 E14 H14 K14 N14 E17 H17 K17 N17 E20 H20 K20 N20 E23 H23 K23 N23 E26 H26 K26 N26 E29 H29 K29 N29 E32 H32 K32 N32" xr:uid="{00000000-0002-0000-0000-000000000000}">
      <formula1>$B$11:$B$19</formula1>
    </dataValidation>
  </dataValidations>
  <pageMargins left="0.7" right="0.7" top="0.75" bottom="0.75" header="0" footer="0"/>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C9:H1000"/>
  <sheetViews>
    <sheetView showGridLines="0" topLeftCell="A7" workbookViewId="0">
      <selection activeCell="D17" sqref="D17"/>
    </sheetView>
  </sheetViews>
  <sheetFormatPr baseColWidth="10" defaultColWidth="14.42578125" defaultRowHeight="15" customHeight="1" x14ac:dyDescent="0.25"/>
  <cols>
    <col min="1" max="2" width="10.7109375" customWidth="1"/>
    <col min="3" max="3" width="32.7109375" customWidth="1"/>
    <col min="4" max="26" width="10.7109375" customWidth="1"/>
  </cols>
  <sheetData>
    <row r="9" spans="3:8" x14ac:dyDescent="0.25">
      <c r="D9" s="2"/>
    </row>
    <row r="10" spans="3:8" x14ac:dyDescent="0.25">
      <c r="D10" s="2"/>
    </row>
    <row r="11" spans="3:8" x14ac:dyDescent="0.25">
      <c r="C11" s="4" t="s">
        <v>3</v>
      </c>
      <c r="D11" s="6">
        <v>52</v>
      </c>
      <c r="F11" s="8" t="s">
        <v>5</v>
      </c>
      <c r="G11" s="9"/>
      <c r="H11" s="2" t="str">
        <f>IF(G11="","",IF(G11=D11+D12,"✔","✘"))</f>
        <v/>
      </c>
    </row>
    <row r="12" spans="3:8" x14ac:dyDescent="0.25">
      <c r="C12" s="4" t="s">
        <v>11</v>
      </c>
      <c r="D12" s="6">
        <v>72</v>
      </c>
    </row>
    <row r="13" spans="3:8" x14ac:dyDescent="0.25">
      <c r="C13" s="4" t="s">
        <v>12</v>
      </c>
      <c r="D13" s="14">
        <f>+D11+D12</f>
        <v>124</v>
      </c>
    </row>
    <row r="14" spans="3:8" x14ac:dyDescent="0.25">
      <c r="D14" s="2"/>
    </row>
    <row r="15" spans="3:8" x14ac:dyDescent="0.25">
      <c r="C15" s="4" t="s">
        <v>14</v>
      </c>
      <c r="D15" s="6" t="s">
        <v>15</v>
      </c>
      <c r="F15" s="8" t="s">
        <v>5</v>
      </c>
      <c r="G15" s="14"/>
      <c r="H15" s="2" t="str">
        <f>IF(G15="","",IF(G15=_xlfn.CONCAT(D15," ",D16),"✔","✘"))</f>
        <v/>
      </c>
    </row>
    <row r="16" spans="3:8" x14ac:dyDescent="0.25">
      <c r="C16" s="4" t="s">
        <v>18</v>
      </c>
      <c r="D16" s="6" t="s">
        <v>19</v>
      </c>
    </row>
    <row r="17" spans="3:8" x14ac:dyDescent="0.25">
      <c r="C17" s="4" t="s">
        <v>20</v>
      </c>
      <c r="D17" s="14" t="e">
        <f ca="1">+_xludf.CONCAT(D15," ",D16)</f>
        <v>#NAME?</v>
      </c>
    </row>
    <row r="18" spans="3:8" x14ac:dyDescent="0.25">
      <c r="D18" s="2"/>
    </row>
    <row r="19" spans="3:8" x14ac:dyDescent="0.25">
      <c r="C19" s="4" t="s">
        <v>23</v>
      </c>
      <c r="D19" s="6">
        <v>500</v>
      </c>
      <c r="F19" s="8" t="s">
        <v>5</v>
      </c>
      <c r="G19" s="9"/>
      <c r="H19" s="2" t="str">
        <f>IF(G19="","",IF(G19=D19/D20,"✔","✘"))</f>
        <v/>
      </c>
    </row>
    <row r="20" spans="3:8" x14ac:dyDescent="0.25">
      <c r="C20" s="4" t="s">
        <v>25</v>
      </c>
      <c r="D20" s="6">
        <v>37.5</v>
      </c>
    </row>
    <row r="21" spans="3:8" ht="15.75" customHeight="1" x14ac:dyDescent="0.25">
      <c r="C21" s="4" t="s">
        <v>26</v>
      </c>
      <c r="D21" s="14">
        <f>+D19/D20</f>
        <v>13.333333333333334</v>
      </c>
    </row>
    <row r="22" spans="3:8" ht="15.75" customHeight="1" x14ac:dyDescent="0.25">
      <c r="D22" s="2"/>
    </row>
    <row r="23" spans="3:8" ht="15.75" customHeight="1" x14ac:dyDescent="0.25">
      <c r="C23" s="4" t="s">
        <v>27</v>
      </c>
      <c r="D23" s="6">
        <v>25</v>
      </c>
      <c r="F23" s="8" t="s">
        <v>5</v>
      </c>
      <c r="G23" s="9"/>
      <c r="H23" s="2" t="str">
        <f>IF(G23="","",IF(G23=D23/D24,"✔","✘"))</f>
        <v/>
      </c>
    </row>
    <row r="24" spans="3:8" ht="15.75" customHeight="1" x14ac:dyDescent="0.25">
      <c r="C24" s="4" t="s">
        <v>31</v>
      </c>
      <c r="D24" s="6">
        <v>250</v>
      </c>
    </row>
    <row r="25" spans="3:8" ht="15.75" customHeight="1" x14ac:dyDescent="0.25">
      <c r="C25" s="4" t="s">
        <v>32</v>
      </c>
      <c r="D25" s="17">
        <f>+D23/D24</f>
        <v>0.1</v>
      </c>
    </row>
    <row r="26" spans="3:8" ht="15.75" customHeight="1" x14ac:dyDescent="0.25">
      <c r="D26" s="2"/>
    </row>
    <row r="27" spans="3:8" ht="15.75" customHeight="1" x14ac:dyDescent="0.25">
      <c r="D27" s="18"/>
    </row>
    <row r="28" spans="3:8" ht="15.75" customHeight="1" x14ac:dyDescent="0.25"/>
    <row r="29" spans="3:8" ht="15.75" customHeight="1" x14ac:dyDescent="0.25"/>
    <row r="30" spans="3:8" ht="15.75" customHeight="1" x14ac:dyDescent="0.25"/>
    <row r="31" spans="3:8" ht="15.75" customHeight="1" x14ac:dyDescent="0.25"/>
    <row r="32" spans="3:8"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conditionalFormatting sqref="H11">
    <cfRule type="containsBlanks" dxfId="13" priority="1">
      <formula>LEN(TRIM(H11))=0</formula>
    </cfRule>
  </conditionalFormatting>
  <conditionalFormatting sqref="H11">
    <cfRule type="containsText" dxfId="12" priority="2" operator="containsText" text="✘">
      <formula>NOT(ISERROR(SEARCH(("✘"),(H11))))</formula>
    </cfRule>
  </conditionalFormatting>
  <conditionalFormatting sqref="H11">
    <cfRule type="containsText" dxfId="11" priority="3" operator="containsText" text="✔">
      <formula>NOT(ISERROR(SEARCH(("✔"),(H11))))</formula>
    </cfRule>
  </conditionalFormatting>
  <conditionalFormatting sqref="H15">
    <cfRule type="containsBlanks" dxfId="10" priority="4">
      <formula>LEN(TRIM(H15))=0</formula>
    </cfRule>
  </conditionalFormatting>
  <conditionalFormatting sqref="H15">
    <cfRule type="containsText" dxfId="9" priority="5" operator="containsText" text="✘">
      <formula>NOT(ISERROR(SEARCH(("✘"),(H15))))</formula>
    </cfRule>
  </conditionalFormatting>
  <conditionalFormatting sqref="H15">
    <cfRule type="containsText" dxfId="8" priority="6" operator="containsText" text="✔">
      <formula>NOT(ISERROR(SEARCH(("✔"),(H15))))</formula>
    </cfRule>
  </conditionalFormatting>
  <conditionalFormatting sqref="H19">
    <cfRule type="containsBlanks" dxfId="7" priority="7">
      <formula>LEN(TRIM(H19))=0</formula>
    </cfRule>
  </conditionalFormatting>
  <conditionalFormatting sqref="H19">
    <cfRule type="containsText" dxfId="6" priority="8" operator="containsText" text="✘">
      <formula>NOT(ISERROR(SEARCH(("✘"),(H19))))</formula>
    </cfRule>
  </conditionalFormatting>
  <conditionalFormatting sqref="H19">
    <cfRule type="containsText" dxfId="5" priority="9" operator="containsText" text="✔">
      <formula>NOT(ISERROR(SEARCH(("✔"),(H19))))</formula>
    </cfRule>
  </conditionalFormatting>
  <conditionalFormatting sqref="H23">
    <cfRule type="containsBlanks" dxfId="4" priority="10">
      <formula>LEN(TRIM(H23))=0</formula>
    </cfRule>
  </conditionalFormatting>
  <conditionalFormatting sqref="H23">
    <cfRule type="containsText" dxfId="3" priority="11" operator="containsText" text="✘">
      <formula>NOT(ISERROR(SEARCH(("✘"),(H23))))</formula>
    </cfRule>
  </conditionalFormatting>
  <conditionalFormatting sqref="H23">
    <cfRule type="containsText" dxfId="2" priority="12" operator="containsText" text="✔">
      <formula>NOT(ISERROR(SEARCH(("✔"),(H23))))</formula>
    </cfRule>
  </conditionalFormatting>
  <pageMargins left="0.7" right="0.7" top="0.75" bottom="0.75" header="0" footer="0"/>
  <pageSetup orientation="landscape"/>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B12:H1000"/>
  <sheetViews>
    <sheetView showGridLines="0" workbookViewId="0">
      <selection activeCell="H28" sqref="H28"/>
    </sheetView>
  </sheetViews>
  <sheetFormatPr baseColWidth="10" defaultColWidth="14.42578125" defaultRowHeight="15" customHeight="1" x14ac:dyDescent="0.25"/>
  <cols>
    <col min="1" max="2" width="10.7109375" customWidth="1"/>
    <col min="3" max="3" width="23.42578125" customWidth="1"/>
    <col min="4" max="4" width="10.7109375" customWidth="1"/>
    <col min="5" max="5" width="26.140625" customWidth="1"/>
    <col min="6" max="6" width="13" customWidth="1"/>
    <col min="7" max="26" width="10.7109375" customWidth="1"/>
  </cols>
  <sheetData>
    <row r="12" spans="2:7" x14ac:dyDescent="0.25">
      <c r="B12" s="3" t="s">
        <v>2</v>
      </c>
      <c r="C12" s="24" t="s">
        <v>58</v>
      </c>
    </row>
    <row r="13" spans="2:7" x14ac:dyDescent="0.25">
      <c r="B13" s="7" t="s">
        <v>4</v>
      </c>
      <c r="C13" s="24" t="s">
        <v>59</v>
      </c>
      <c r="E13" s="10" t="s">
        <v>6</v>
      </c>
      <c r="F13" s="10" t="s">
        <v>7</v>
      </c>
      <c r="G13" s="11" t="s">
        <v>8</v>
      </c>
    </row>
    <row r="14" spans="2:7" x14ac:dyDescent="0.25">
      <c r="E14" s="6" t="s">
        <v>9</v>
      </c>
      <c r="F14" s="6">
        <v>60</v>
      </c>
      <c r="G14" s="13"/>
    </row>
    <row r="15" spans="2:7" x14ac:dyDescent="0.25">
      <c r="E15" s="6" t="s">
        <v>13</v>
      </c>
      <c r="F15" s="6">
        <v>48</v>
      </c>
      <c r="G15" s="13"/>
    </row>
    <row r="16" spans="2:7" x14ac:dyDescent="0.25">
      <c r="E16" s="6" t="s">
        <v>17</v>
      </c>
      <c r="F16" s="6">
        <v>10</v>
      </c>
      <c r="G16" s="13"/>
    </row>
    <row r="17" spans="5:8" x14ac:dyDescent="0.25">
      <c r="E17" s="6" t="s">
        <v>21</v>
      </c>
      <c r="F17" s="6">
        <v>70</v>
      </c>
      <c r="G17" s="13"/>
    </row>
    <row r="18" spans="5:8" x14ac:dyDescent="0.25">
      <c r="E18" s="6" t="s">
        <v>22</v>
      </c>
      <c r="F18" s="6">
        <v>60</v>
      </c>
      <c r="G18" s="13"/>
    </row>
    <row r="20" spans="5:8" x14ac:dyDescent="0.25">
      <c r="E20" s="6" t="s">
        <v>24</v>
      </c>
      <c r="F20" s="13"/>
      <c r="G20" s="16">
        <f>+AVERAGE(F14:F18)</f>
        <v>49.6</v>
      </c>
      <c r="H20" s="5" t="str">
        <f t="shared" ref="H20:H28" si="0">+IF(F20="","",IF(G20=F20,"✔","corregir"))</f>
        <v/>
      </c>
    </row>
    <row r="21" spans="5:8" ht="15.75" customHeight="1" x14ac:dyDescent="0.25">
      <c r="E21" s="6" t="s">
        <v>34</v>
      </c>
      <c r="F21" s="13"/>
      <c r="G21" s="16">
        <f>+MAX(F14:F18)</f>
        <v>70</v>
      </c>
      <c r="H21" s="5" t="str">
        <f t="shared" si="0"/>
        <v/>
      </c>
    </row>
    <row r="22" spans="5:8" ht="15.75" customHeight="1" x14ac:dyDescent="0.25">
      <c r="E22" s="6" t="s">
        <v>36</v>
      </c>
      <c r="F22" s="13"/>
      <c r="G22" s="16">
        <f>+MIN(F14:F18)</f>
        <v>10</v>
      </c>
      <c r="H22" s="5" t="str">
        <f t="shared" si="0"/>
        <v/>
      </c>
    </row>
    <row r="23" spans="5:8" ht="15.75" customHeight="1" x14ac:dyDescent="0.25">
      <c r="E23" s="6" t="s">
        <v>37</v>
      </c>
      <c r="F23" s="13"/>
      <c r="G23" s="16">
        <f>+IFERROR(_xlfn.MODE.SNGL(F14:F18),"ninguna")</f>
        <v>60</v>
      </c>
      <c r="H23" s="5" t="str">
        <f t="shared" si="0"/>
        <v/>
      </c>
    </row>
    <row r="24" spans="5:8" ht="15.75" customHeight="1" x14ac:dyDescent="0.25">
      <c r="E24" s="6" t="s">
        <v>41</v>
      </c>
      <c r="F24" s="13"/>
      <c r="G24" s="16">
        <f>+COUNT(F14:F18)</f>
        <v>5</v>
      </c>
      <c r="H24" s="5" t="str">
        <f t="shared" si="0"/>
        <v/>
      </c>
    </row>
    <row r="25" spans="5:8" ht="15.75" customHeight="1" x14ac:dyDescent="0.25">
      <c r="E25" s="6" t="s">
        <v>42</v>
      </c>
      <c r="F25" s="13"/>
      <c r="G25" s="16">
        <f>+COUNTIF(G14:G18,+B13)</f>
        <v>0</v>
      </c>
      <c r="H25" s="5" t="str">
        <f t="shared" si="0"/>
        <v/>
      </c>
    </row>
    <row r="26" spans="5:8" ht="15.75" customHeight="1" x14ac:dyDescent="0.25">
      <c r="E26" s="6" t="s">
        <v>44</v>
      </c>
      <c r="F26" s="13"/>
      <c r="G26" s="16">
        <f>+COUNTIF(G14:G18,B12)</f>
        <v>0</v>
      </c>
      <c r="H26" s="5" t="str">
        <f t="shared" si="0"/>
        <v/>
      </c>
    </row>
    <row r="27" spans="5:8" ht="15.75" customHeight="1" x14ac:dyDescent="0.25">
      <c r="E27" s="6" t="s">
        <v>46</v>
      </c>
      <c r="F27" s="13"/>
      <c r="G27" s="21" t="e">
        <f>+AVERAGEIF(G14:G18,B13,F14:F18)</f>
        <v>#DIV/0!</v>
      </c>
      <c r="H27" s="5" t="str">
        <f t="shared" si="0"/>
        <v/>
      </c>
    </row>
    <row r="28" spans="5:8" ht="15.75" customHeight="1" x14ac:dyDescent="0.25">
      <c r="E28" s="6" t="s">
        <v>49</v>
      </c>
      <c r="F28" s="13"/>
      <c r="G28" s="21" t="e">
        <f>+AVERAGEIF(G14:G18,B12,F14:F18)</f>
        <v>#DIV/0!</v>
      </c>
      <c r="H28" s="5" t="str">
        <f t="shared" si="0"/>
        <v/>
      </c>
    </row>
    <row r="29" spans="5:8" ht="15.75" customHeight="1" x14ac:dyDescent="0.25"/>
    <row r="30" spans="5:8" ht="15.75" customHeight="1" x14ac:dyDescent="0.25"/>
    <row r="31" spans="5:8" ht="15.75" customHeight="1" x14ac:dyDescent="0.25"/>
    <row r="32" spans="5:8"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conditionalFormatting sqref="G14:G18">
    <cfRule type="containsText" dxfId="1" priority="1" operator="containsText" text="Aprobado">
      <formula>NOT(ISERROR(SEARCH(("Aprobado"),(G14))))</formula>
    </cfRule>
  </conditionalFormatting>
  <conditionalFormatting sqref="G14:G18">
    <cfRule type="containsText" dxfId="0" priority="2" operator="containsText" text="Reprobo">
      <formula>NOT(ISERROR(SEARCH(("Reprobo"),(G14))))</formula>
    </cfRule>
  </conditionalFormatting>
  <pageMargins left="0.7" right="0.7" top="0.75" bottom="0.75" header="0" footer="0"/>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Tipos de Datos</vt:lpstr>
      <vt:lpstr>Imprimir Variables</vt:lpstr>
      <vt:lpstr>Funcion si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DMI</dc:creator>
  <cp:lastModifiedBy>junior barrera</cp:lastModifiedBy>
  <dcterms:created xsi:type="dcterms:W3CDTF">2017-01-04T15:53:51Z</dcterms:created>
  <dcterms:modified xsi:type="dcterms:W3CDTF">2026-08-18T01:41:26Z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e58415d8-a6c9-4e1a-9446-9b6bcf75de29</vt:lpwstr>
  </property>
  <property fmtid="{D5CDD505-2E9C-101B-9397-08002B2CF9AE}" pid="3" name="MSIP_Label_defa4170-0d19-0005-0004-bc88714345d2_Enabled">
    <vt:lpwstr>true</vt:lpwstr>
  </property>
  <property fmtid="{D5CDD505-2E9C-101B-9397-08002B2CF9AE}" pid="4" name="MSIP_Label_defa4170-0d19-0005-0004-bc88714345d2_SetDate">
    <vt:lpwstr>2023-09-22T04:55:41Z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0b01e2ad-200c-484c-92f4-944d74ad8d2b</vt:lpwstr>
  </property>
  <property fmtid="{D5CDD505-2E9C-101B-9397-08002B2CF9AE}" pid="8" name="MSIP_Label_defa4170-0d19-0005-0004-bc88714345d2_ActionId">
    <vt:lpwstr>b6b8998c-0993-4d98-ac5e-068e577db8bf</vt:lpwstr>
  </property>
  <property fmtid="{D5CDD505-2E9C-101B-9397-08002B2CF9AE}" pid="9" name="MSIP_Label_defa4170-0d19-0005-0004-bc88714345d2_ContentBits">
    <vt:lpwstr>0</vt:lpwstr>
  </property>
</Properties>
</file>