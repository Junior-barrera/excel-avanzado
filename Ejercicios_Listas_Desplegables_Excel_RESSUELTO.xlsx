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excel\"/>
    </mc:Choice>
  </mc:AlternateContent>
  <xr:revisionPtr revIDLastSave="0" documentId="13_ncr:1_{7A836ADF-3D30-4CC3-9D82-FEAB71A06C93}" xr6:coauthVersionLast="47" xr6:coauthVersionMax="47" xr10:uidLastSave="{00000000-0000-0000-0000-000000000000}"/>
  <bookViews>
    <workbookView xWindow="-120" yWindow="-120" windowWidth="20640" windowHeight="11160" activeTab="3" xr2:uid="{00000000-000D-0000-FFFF-FFFF00000000}"/>
  </bookViews>
  <sheets>
    <sheet name="Instrucciones" sheetId="1" r:id="rId1"/>
    <sheet name="Listas" sheetId="2" r:id="rId2"/>
    <sheet name="Base_Ventas" sheetId="3" r:id="rId3"/>
    <sheet name="Ejercicio_1" sheetId="4" r:id="rId4"/>
    <sheet name="Ejercicio_2" sheetId="5" r:id="rId5"/>
    <sheet name="Ejercicio_3" sheetId="6" r:id="rId6"/>
    <sheet name="Ejercicio_4" sheetId="7" r:id="rId7"/>
    <sheet name="Ejercicio_5" sheetId="8" r:id="rId8"/>
    <sheet name="Ejercicio_6" sheetId="9" r:id="rId9"/>
    <sheet name="Ejercicio_7" sheetId="10" r:id="rId10"/>
    <sheet name="Ejercicio_8" sheetId="11" r:id="rId11"/>
    <sheet name="Soluciones" sheetId="12" r:id="rId12"/>
  </sheets>
  <definedNames>
    <definedName name="_xlnm._FilterDatabase" localSheetId="2" hidden="1">Base_Ventas!$A$1:$L$501</definedName>
    <definedName name="Lista_Audio">Listas!$G$2:$G$5</definedName>
    <definedName name="Lista_Hogar">Listas!$H$2:$H$5</definedName>
    <definedName name="Lista_Oficina">Listas!$I$2:$I$5</definedName>
    <definedName name="Lista_Tecnologia">Listas!$F$2:$F$7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11" l="1"/>
  <c r="B11" i="11"/>
  <c r="B10" i="11"/>
  <c r="B8" i="10"/>
  <c r="B7" i="10"/>
  <c r="B6" i="10"/>
</calcChain>
</file>

<file path=xl/sharedStrings.xml><?xml version="1.0" encoding="utf-8"?>
<sst xmlns="http://schemas.openxmlformats.org/spreadsheetml/2006/main" count="3681" uniqueCount="130">
  <si>
    <t>EJERCICIOS DE LISTAS DESPLEGABLES EN EXCEL</t>
  </si>
  <si>
    <t>Objetivo</t>
  </si>
  <si>
    <t>Practicar Validación de datos → Lista, listas dependientes y combinación con BUSCARX.</t>
  </si>
  <si>
    <t>Cómo trabajar</t>
  </si>
  <si>
    <t>Completa las celdas amarillas. Las verdes son resultados que puedes obtener con fórmulas.</t>
  </si>
  <si>
    <t>N°</t>
  </si>
  <si>
    <t>Ejercicio</t>
  </si>
  <si>
    <t>Pregunta a resolver</t>
  </si>
  <si>
    <t>Nivel</t>
  </si>
  <si>
    <t>Ciudad</t>
  </si>
  <si>
    <t>Crea una lista desplegable de ciudades y selecciona una ciudad.</t>
  </si>
  <si>
    <t>Básico</t>
  </si>
  <si>
    <t>Estado</t>
  </si>
  <si>
    <t>Crea una lista desplegable para elegir Completada, Pendiente o Cancelada.</t>
  </si>
  <si>
    <t>Categoría</t>
  </si>
  <si>
    <t>Crea una lista desplegable para seleccionar una categoría.</t>
  </si>
  <si>
    <t>Formulario</t>
  </si>
  <si>
    <t>Completa 10 ventas usando desplegables para vendedor, ciudad, categoría, medio de pago y estado.</t>
  </si>
  <si>
    <t>Intermedio</t>
  </si>
  <si>
    <t>Productos</t>
  </si>
  <si>
    <t>Crea una lista desplegable con todos los productos y selecciona 10.</t>
  </si>
  <si>
    <t>Lista dependiente</t>
  </si>
  <si>
    <t>Selecciona una categoría y haz que el desplegable Producto muestre solo productos de esa categoría.</t>
  </si>
  <si>
    <t>Avanzado</t>
  </si>
  <si>
    <t>Desplegable + BUSCARX</t>
  </si>
  <si>
    <t>Selecciona un producto y obtiene automáticamente precio, categoría y proveedor.</t>
  </si>
  <si>
    <t>Panel interactivo</t>
  </si>
  <si>
    <t>Selecciona ciudad, categoría y vendedor y calcula cantidad, total y promedio de ventas.</t>
  </si>
  <si>
    <t>Vendedores</t>
  </si>
  <si>
    <t>Ciudades</t>
  </si>
  <si>
    <t>Categorias</t>
  </si>
  <si>
    <t>Estados</t>
  </si>
  <si>
    <t>Medios de Pago</t>
  </si>
  <si>
    <t>Tecnologia</t>
  </si>
  <si>
    <t>Audio</t>
  </si>
  <si>
    <t>Hogar</t>
  </si>
  <si>
    <t>Oficina</t>
  </si>
  <si>
    <t>Todos los productos</t>
  </si>
  <si>
    <t>Ana Pérez</t>
  </si>
  <si>
    <t>Arica</t>
  </si>
  <si>
    <t>Completada</t>
  </si>
  <si>
    <t>Efectivo</t>
  </si>
  <si>
    <t>Notebook</t>
  </si>
  <si>
    <t>Audífonos</t>
  </si>
  <si>
    <t>Aspiradora</t>
  </si>
  <si>
    <t>Silla de oficina</t>
  </si>
  <si>
    <t>Carlos Soto</t>
  </si>
  <si>
    <t>Iquique</t>
  </si>
  <si>
    <t>Pendiente</t>
  </si>
  <si>
    <t>Débito</t>
  </si>
  <si>
    <t>Mouse</t>
  </si>
  <si>
    <t>Parlante Bluetooth</t>
  </si>
  <si>
    <t>Lámpara</t>
  </si>
  <si>
    <t>Escritorio</t>
  </si>
  <si>
    <t>Daniela Rojas</t>
  </si>
  <si>
    <t>Antofagasta</t>
  </si>
  <si>
    <t>Cancelada</t>
  </si>
  <si>
    <t>Crédito</t>
  </si>
  <si>
    <t>Teclado</t>
  </si>
  <si>
    <t>Micrófono</t>
  </si>
  <si>
    <t>Cafetera</t>
  </si>
  <si>
    <t>Archivador</t>
  </si>
  <si>
    <t>Felipe Muñoz</t>
  </si>
  <si>
    <t>Santiago</t>
  </si>
  <si>
    <t>Transferencia</t>
  </si>
  <si>
    <t>Monitor</t>
  </si>
  <si>
    <t>Barra de sonido</t>
  </si>
  <si>
    <t>Ventilador</t>
  </si>
  <si>
    <t>Calculadora</t>
  </si>
  <si>
    <t>Camila Díaz</t>
  </si>
  <si>
    <t>Calama</t>
  </si>
  <si>
    <t>Webcam</t>
  </si>
  <si>
    <t>Luis González</t>
  </si>
  <si>
    <t>La Serena</t>
  </si>
  <si>
    <t>Tablet</t>
  </si>
  <si>
    <t>ID Venta</t>
  </si>
  <si>
    <t>Fecha</t>
  </si>
  <si>
    <t>Vendedor</t>
  </si>
  <si>
    <t>Producto</t>
  </si>
  <si>
    <t>Cantidad</t>
  </si>
  <si>
    <t>Precio Unitario</t>
  </si>
  <si>
    <t>Total</t>
  </si>
  <si>
    <t>Medio de Pago</t>
  </si>
  <si>
    <t>Proveedor</t>
  </si>
  <si>
    <t>Tecno Chile</t>
  </si>
  <si>
    <t>HogarPlus</t>
  </si>
  <si>
    <t>AudioMax</t>
  </si>
  <si>
    <t>OfiMarket</t>
  </si>
  <si>
    <t>EJERCICIO 1 — LISTA DE CIUDADES</t>
  </si>
  <si>
    <t>Pregunta</t>
  </si>
  <si>
    <t>Crea un desplegable en B5 y selecciona una ciudad.</t>
  </si>
  <si>
    <t>Lista De Ciudades</t>
  </si>
  <si>
    <t>EJERCICIO 2 — LISTA DE ESTADOS</t>
  </si>
  <si>
    <t>Crea un desplegable en B5 para seleccionar el estado de una venta.</t>
  </si>
  <si>
    <t>Lista De Estados</t>
  </si>
  <si>
    <t>EJERCICIO 3 — LISTA DE CATEGORÍAS</t>
  </si>
  <si>
    <t>Crea un desplegable en B5 y selecciona una categoría.</t>
  </si>
  <si>
    <t>Lista De Categorías</t>
  </si>
  <si>
    <t>EJERCICIO 4 — FORMULARIO DE VENTAS</t>
  </si>
  <si>
    <t>Completa 10 filas usando listas desplegables. No escribas manualmente los campos con lista.</t>
  </si>
  <si>
    <t>EJERCICIO 5 — LISTA DE PRODUCTOS</t>
  </si>
  <si>
    <t>Crea un desplegable con todos los productos y selecciona 10 productos.</t>
  </si>
  <si>
    <t>EJERCICIO 6 — LISTA DEPENDIENTE</t>
  </si>
  <si>
    <t>Selecciona una categoría. Luego haz que Producto muestre SOLO los productos de esa categoría.</t>
  </si>
  <si>
    <t>Pista</t>
  </si>
  <si>
    <t>Usa =INDIRECT("Lista_"&amp;A6) en la validación de Producto.</t>
  </si>
  <si>
    <t>EJERCICIO 7 — DESPLEGABLE + BUSCARX</t>
  </si>
  <si>
    <t>Selecciona un producto y completa automáticamente precio, categoría y proveedor con BUSCARX.</t>
  </si>
  <si>
    <t>EJERCICIO 8 — PANEL INTERACTIVO</t>
  </si>
  <si>
    <t>Selecciona ciudad, categoría y vendedor. Calcula cantidad de ventas, ventas totales y promedio.</t>
  </si>
  <si>
    <t>Cantidad de ventas</t>
  </si>
  <si>
    <t>Ventas totales</t>
  </si>
  <si>
    <t>Promedio de venta</t>
  </si>
  <si>
    <t>Solución / pista</t>
  </si>
  <si>
    <t>1</t>
  </si>
  <si>
    <t>Validación de datos → Lista → origen Listas!B2:B7.</t>
  </si>
  <si>
    <t>2</t>
  </si>
  <si>
    <t>Validación de datos → Lista → origen Listas!D2:D4.</t>
  </si>
  <si>
    <t>3</t>
  </si>
  <si>
    <t>Validación de datos → Lista → origen Listas!C2:C5.</t>
  </si>
  <si>
    <t>4</t>
  </si>
  <si>
    <t>Cinco listas: Vendedor, Ciudad, Categoría, Medio de Pago y Estado.</t>
  </si>
  <si>
    <t>5</t>
  </si>
  <si>
    <t>Validación de datos → Lista → origen Listas!K2:K19.</t>
  </si>
  <si>
    <t>6</t>
  </si>
  <si>
    <t>Categoría: Listas!C2:C5. Producto: =INDIRECT("Lista_"&amp;A6).</t>
  </si>
  <si>
    <t>7</t>
  </si>
  <si>
    <t>BUSCARX: producto → precio, categoría y proveedor. En archivo se dejan las fórmulas listas para comprobar.</t>
  </si>
  <si>
    <t>8</t>
  </si>
  <si>
    <t>Usa COUNTIFS, SUMIFS y AVERAGEIFS con los tres filtros.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</si>
</sst>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5" formatCode="\$#,##0"/>
  </numFmts>
  <fonts count="4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B9BD5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3" borderId="1" xfId="0" applyFont="1" applyFill="1" applyBorder="1"/>
    <xf numFmtId="0" fontId="0" fillId="0" borderId="1" xfId="0" applyBorder="1"/>
    <xf numFmtId="0" fontId="3" fillId="4" borderId="0" xfId="0" applyFont="1" applyFill="1"/>
    <xf numFmtId="0" fontId="0" fillId="0" borderId="1" xfId="0" applyBorder="1" applyAlignment="1">
      <alignment vertical="top" wrapText="1"/>
    </xf>
    <xf numFmtId="14" fontId="0" fillId="0" borderId="0" xfId="0" applyNumberFormat="1"/>
    <xf numFmtId="165" fontId="0" fillId="0" borderId="0" xfId="0" applyNumberFormat="1"/>
    <xf numFmtId="0" fontId="0" fillId="5" borderId="0" xfId="0" applyFill="1"/>
    <xf numFmtId="0" fontId="2" fillId="3" borderId="0" xfId="0" applyFont="1" applyFill="1"/>
    <xf numFmtId="165" fontId="0" fillId="6" borderId="0" xfId="0" applyNumberFormat="1" applyFill="1"/>
    <xf numFmtId="0" fontId="0" fillId="6" borderId="0" xfId="0" applyFill="1"/>
    <xf numFmtId="0" fontId="1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F3BA7BBB-744C-40DC-9DD6-5F337E0FBC2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showGridLines="0" workbookViewId="0">
      <selection activeCell="B13" sqref="B13"/>
    </sheetView>
  </sheetViews>
  <sheetFormatPr baseColWidth="10" defaultColWidth="9.140625" defaultRowHeight="15" x14ac:dyDescent="0.25"/>
  <cols>
    <col min="1" max="1" width="10" customWidth="1"/>
    <col min="2" max="2" width="22" customWidth="1"/>
    <col min="3" max="3" width="85" customWidth="1"/>
    <col min="4" max="4" width="15" customWidth="1"/>
  </cols>
  <sheetData>
    <row r="1" spans="1:4" ht="18.75" x14ac:dyDescent="0.3">
      <c r="A1" s="11" t="s">
        <v>0</v>
      </c>
      <c r="B1" s="12"/>
      <c r="C1" s="12"/>
      <c r="D1" s="12"/>
    </row>
    <row r="3" spans="1:4" x14ac:dyDescent="0.25">
      <c r="A3" s="1" t="s">
        <v>1</v>
      </c>
      <c r="B3" s="2" t="s">
        <v>2</v>
      </c>
    </row>
    <row r="4" spans="1:4" x14ac:dyDescent="0.25">
      <c r="A4" s="1" t="s">
        <v>3</v>
      </c>
      <c r="B4" s="2" t="s">
        <v>4</v>
      </c>
    </row>
    <row r="6" spans="1:4" x14ac:dyDescent="0.25">
      <c r="A6" s="3" t="s">
        <v>5</v>
      </c>
      <c r="B6" s="3" t="s">
        <v>6</v>
      </c>
      <c r="C6" s="3" t="s">
        <v>7</v>
      </c>
      <c r="D6" s="3" t="s">
        <v>8</v>
      </c>
    </row>
    <row r="7" spans="1:4" x14ac:dyDescent="0.25">
      <c r="A7" s="4">
        <v>1</v>
      </c>
      <c r="B7" s="4" t="s">
        <v>9</v>
      </c>
      <c r="C7" s="4" t="s">
        <v>10</v>
      </c>
      <c r="D7" s="4" t="s">
        <v>11</v>
      </c>
    </row>
    <row r="8" spans="1:4" x14ac:dyDescent="0.25">
      <c r="A8" s="4">
        <v>2</v>
      </c>
      <c r="B8" s="4" t="s">
        <v>12</v>
      </c>
      <c r="C8" s="4" t="s">
        <v>13</v>
      </c>
      <c r="D8" s="4" t="s">
        <v>11</v>
      </c>
    </row>
    <row r="9" spans="1:4" x14ac:dyDescent="0.25">
      <c r="A9" s="4">
        <v>3</v>
      </c>
      <c r="B9" s="4" t="s">
        <v>14</v>
      </c>
      <c r="C9" s="4" t="s">
        <v>15</v>
      </c>
      <c r="D9" s="4" t="s">
        <v>11</v>
      </c>
    </row>
    <row r="10" spans="1:4" ht="30" x14ac:dyDescent="0.25">
      <c r="A10" s="4">
        <v>4</v>
      </c>
      <c r="B10" s="4" t="s">
        <v>16</v>
      </c>
      <c r="C10" s="4" t="s">
        <v>17</v>
      </c>
      <c r="D10" s="4" t="s">
        <v>18</v>
      </c>
    </row>
    <row r="11" spans="1:4" x14ac:dyDescent="0.25">
      <c r="A11" s="4">
        <v>5</v>
      </c>
      <c r="B11" s="4" t="s">
        <v>19</v>
      </c>
      <c r="C11" s="4" t="s">
        <v>20</v>
      </c>
      <c r="D11" s="4" t="s">
        <v>18</v>
      </c>
    </row>
    <row r="12" spans="1:4" ht="30" x14ac:dyDescent="0.25">
      <c r="A12" s="4">
        <v>6</v>
      </c>
      <c r="B12" s="4" t="s">
        <v>21</v>
      </c>
      <c r="C12" s="4" t="s">
        <v>22</v>
      </c>
      <c r="D12" s="4" t="s">
        <v>23</v>
      </c>
    </row>
    <row r="13" spans="1:4" ht="30" x14ac:dyDescent="0.25">
      <c r="A13" s="4">
        <v>7</v>
      </c>
      <c r="B13" s="4" t="s">
        <v>24</v>
      </c>
      <c r="C13" s="4" t="s">
        <v>25</v>
      </c>
      <c r="D13" s="4" t="s">
        <v>23</v>
      </c>
    </row>
    <row r="14" spans="1:4" x14ac:dyDescent="0.25">
      <c r="A14" s="4">
        <v>8</v>
      </c>
      <c r="B14" s="4" t="s">
        <v>26</v>
      </c>
      <c r="C14" s="4" t="s">
        <v>27</v>
      </c>
      <c r="D14" s="4" t="s">
        <v>23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9"/>
  <sheetViews>
    <sheetView showGridLines="0" workbookViewId="0"/>
  </sheetViews>
  <sheetFormatPr baseColWidth="10" defaultColWidth="9.140625" defaultRowHeight="15" x14ac:dyDescent="0.25"/>
  <cols>
    <col min="1" max="11" width="24" customWidth="1"/>
  </cols>
  <sheetData>
    <row r="1" spans="1:11" x14ac:dyDescent="0.25">
      <c r="A1" s="3" t="s">
        <v>28</v>
      </c>
      <c r="B1" s="3" t="s">
        <v>29</v>
      </c>
      <c r="C1" s="3" t="s">
        <v>30</v>
      </c>
      <c r="D1" s="3" t="s">
        <v>31</v>
      </c>
      <c r="E1" s="3" t="s">
        <v>32</v>
      </c>
      <c r="F1" s="3" t="s">
        <v>33</v>
      </c>
      <c r="G1" s="3" t="s">
        <v>34</v>
      </c>
      <c r="H1" s="3" t="s">
        <v>35</v>
      </c>
      <c r="I1" s="3" t="s">
        <v>36</v>
      </c>
      <c r="K1" s="3" t="s">
        <v>37</v>
      </c>
    </row>
    <row r="2" spans="1:11" x14ac:dyDescent="0.25">
      <c r="A2" t="s">
        <v>38</v>
      </c>
      <c r="B2" t="s">
        <v>39</v>
      </c>
      <c r="C2" t="s">
        <v>33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  <c r="I2" t="s">
        <v>45</v>
      </c>
      <c r="K2" t="s">
        <v>42</v>
      </c>
    </row>
    <row r="3" spans="1:11" x14ac:dyDescent="0.25">
      <c r="A3" t="s">
        <v>46</v>
      </c>
      <c r="B3" t="s">
        <v>47</v>
      </c>
      <c r="C3" t="s">
        <v>34</v>
      </c>
      <c r="D3" t="s">
        <v>48</v>
      </c>
      <c r="E3" t="s">
        <v>49</v>
      </c>
      <c r="F3" t="s">
        <v>50</v>
      </c>
      <c r="G3" t="s">
        <v>51</v>
      </c>
      <c r="H3" t="s">
        <v>52</v>
      </c>
      <c r="I3" t="s">
        <v>53</v>
      </c>
      <c r="K3" t="s">
        <v>50</v>
      </c>
    </row>
    <row r="4" spans="1:11" x14ac:dyDescent="0.25">
      <c r="A4" t="s">
        <v>54</v>
      </c>
      <c r="B4" t="s">
        <v>55</v>
      </c>
      <c r="C4" t="s">
        <v>35</v>
      </c>
      <c r="D4" t="s">
        <v>56</v>
      </c>
      <c r="E4" t="s">
        <v>57</v>
      </c>
      <c r="F4" t="s">
        <v>58</v>
      </c>
      <c r="G4" t="s">
        <v>59</v>
      </c>
      <c r="H4" t="s">
        <v>60</v>
      </c>
      <c r="I4" t="s">
        <v>61</v>
      </c>
      <c r="K4" t="s">
        <v>58</v>
      </c>
    </row>
    <row r="5" spans="1:11" x14ac:dyDescent="0.25">
      <c r="A5" t="s">
        <v>62</v>
      </c>
      <c r="B5" t="s">
        <v>63</v>
      </c>
      <c r="C5" t="s">
        <v>36</v>
      </c>
      <c r="E5" t="s">
        <v>64</v>
      </c>
      <c r="F5" t="s">
        <v>65</v>
      </c>
      <c r="G5" t="s">
        <v>66</v>
      </c>
      <c r="H5" t="s">
        <v>67</v>
      </c>
      <c r="I5" t="s">
        <v>68</v>
      </c>
      <c r="K5" t="s">
        <v>65</v>
      </c>
    </row>
    <row r="6" spans="1:11" x14ac:dyDescent="0.25">
      <c r="A6" t="s">
        <v>69</v>
      </c>
      <c r="B6" t="s">
        <v>70</v>
      </c>
      <c r="F6" t="s">
        <v>71</v>
      </c>
      <c r="K6" t="s">
        <v>71</v>
      </c>
    </row>
    <row r="7" spans="1:11" x14ac:dyDescent="0.25">
      <c r="A7" t="s">
        <v>72</v>
      </c>
      <c r="B7" t="s">
        <v>73</v>
      </c>
      <c r="F7" t="s">
        <v>74</v>
      </c>
      <c r="K7" t="s">
        <v>74</v>
      </c>
    </row>
    <row r="8" spans="1:11" x14ac:dyDescent="0.25">
      <c r="K8" t="s">
        <v>43</v>
      </c>
    </row>
    <row r="9" spans="1:11" x14ac:dyDescent="0.25">
      <c r="K9" t="s">
        <v>51</v>
      </c>
    </row>
    <row r="10" spans="1:11" x14ac:dyDescent="0.25">
      <c r="K10" t="s">
        <v>59</v>
      </c>
    </row>
    <row r="11" spans="1:11" x14ac:dyDescent="0.25">
      <c r="K11" t="s">
        <v>66</v>
      </c>
    </row>
    <row r="12" spans="1:11" x14ac:dyDescent="0.25">
      <c r="K12" t="s">
        <v>44</v>
      </c>
    </row>
    <row r="13" spans="1:11" x14ac:dyDescent="0.25">
      <c r="K13" t="s">
        <v>52</v>
      </c>
    </row>
    <row r="14" spans="1:11" x14ac:dyDescent="0.25">
      <c r="K14" t="s">
        <v>60</v>
      </c>
    </row>
    <row r="15" spans="1:11" x14ac:dyDescent="0.25">
      <c r="K15" t="s">
        <v>67</v>
      </c>
    </row>
    <row r="16" spans="1:11" x14ac:dyDescent="0.25">
      <c r="K16" t="s">
        <v>45</v>
      </c>
    </row>
    <row r="17" spans="11:11" x14ac:dyDescent="0.25">
      <c r="K17" t="s">
        <v>53</v>
      </c>
    </row>
    <row r="18" spans="11:11" x14ac:dyDescent="0.25">
      <c r="K18" t="s">
        <v>61</v>
      </c>
    </row>
    <row r="19" spans="11:11" x14ac:dyDescent="0.25">
      <c r="K19" t="s">
        <v>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501"/>
  <sheetViews>
    <sheetView showGridLines="0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sheetData>
    <row r="1" spans="1:12" x14ac:dyDescent="0.25">
      <c r="A1" s="3" t="s">
        <v>75</v>
      </c>
      <c r="B1" s="3" t="s">
        <v>76</v>
      </c>
      <c r="C1" s="3" t="s">
        <v>77</v>
      </c>
      <c r="D1" s="3" t="s">
        <v>9</v>
      </c>
      <c r="E1" s="3" t="s">
        <v>78</v>
      </c>
      <c r="F1" s="3" t="s">
        <v>14</v>
      </c>
      <c r="G1" s="3" t="s">
        <v>79</v>
      </c>
      <c r="H1" s="3" t="s">
        <v>80</v>
      </c>
      <c r="I1" s="3" t="s">
        <v>81</v>
      </c>
      <c r="J1" s="3" t="s">
        <v>82</v>
      </c>
      <c r="K1" s="3" t="s">
        <v>12</v>
      </c>
      <c r="L1" s="3" t="s">
        <v>83</v>
      </c>
    </row>
    <row r="2" spans="1:12" x14ac:dyDescent="0.25">
      <c r="A2">
        <v>10001</v>
      </c>
      <c r="B2" s="5">
        <v>46085</v>
      </c>
      <c r="C2" t="s">
        <v>46</v>
      </c>
      <c r="D2" t="s">
        <v>47</v>
      </c>
      <c r="E2" t="s">
        <v>42</v>
      </c>
      <c r="F2" t="s">
        <v>33</v>
      </c>
      <c r="G2">
        <v>5</v>
      </c>
      <c r="H2" s="6">
        <v>650000</v>
      </c>
      <c r="I2" s="6">
        <v>3250000</v>
      </c>
      <c r="J2" t="s">
        <v>41</v>
      </c>
      <c r="K2" t="s">
        <v>40</v>
      </c>
      <c r="L2" t="s">
        <v>84</v>
      </c>
    </row>
    <row r="3" spans="1:12" x14ac:dyDescent="0.25">
      <c r="A3">
        <v>10002</v>
      </c>
      <c r="B3" s="5">
        <v>46031</v>
      </c>
      <c r="C3" t="s">
        <v>38</v>
      </c>
      <c r="D3" t="s">
        <v>39</v>
      </c>
      <c r="E3" t="s">
        <v>71</v>
      </c>
      <c r="F3" t="s">
        <v>33</v>
      </c>
      <c r="G3">
        <v>7</v>
      </c>
      <c r="H3" s="6">
        <v>45000</v>
      </c>
      <c r="I3" s="6">
        <v>315000</v>
      </c>
      <c r="J3" t="s">
        <v>49</v>
      </c>
      <c r="K3" t="s">
        <v>40</v>
      </c>
      <c r="L3" t="s">
        <v>84</v>
      </c>
    </row>
    <row r="4" spans="1:12" x14ac:dyDescent="0.25">
      <c r="A4">
        <v>10003</v>
      </c>
      <c r="B4" s="5">
        <v>46206</v>
      </c>
      <c r="C4" t="s">
        <v>72</v>
      </c>
      <c r="D4" t="s">
        <v>73</v>
      </c>
      <c r="E4" t="s">
        <v>71</v>
      </c>
      <c r="F4" t="s">
        <v>33</v>
      </c>
      <c r="G4">
        <v>4</v>
      </c>
      <c r="H4" s="6">
        <v>45000</v>
      </c>
      <c r="I4" s="6">
        <v>180000</v>
      </c>
      <c r="J4" t="s">
        <v>64</v>
      </c>
      <c r="K4" t="s">
        <v>40</v>
      </c>
      <c r="L4" t="s">
        <v>84</v>
      </c>
    </row>
    <row r="5" spans="1:12" x14ac:dyDescent="0.25">
      <c r="A5">
        <v>10004</v>
      </c>
      <c r="B5" s="5">
        <v>46201</v>
      </c>
      <c r="C5" t="s">
        <v>62</v>
      </c>
      <c r="D5" t="s">
        <v>55</v>
      </c>
      <c r="E5" t="s">
        <v>44</v>
      </c>
      <c r="F5" t="s">
        <v>35</v>
      </c>
      <c r="G5">
        <v>3</v>
      </c>
      <c r="H5" s="6">
        <v>90000</v>
      </c>
      <c r="I5" s="6">
        <v>270000</v>
      </c>
      <c r="J5" t="s">
        <v>57</v>
      </c>
      <c r="K5" t="s">
        <v>40</v>
      </c>
      <c r="L5" t="s">
        <v>85</v>
      </c>
    </row>
    <row r="6" spans="1:12" x14ac:dyDescent="0.25">
      <c r="A6">
        <v>10005</v>
      </c>
      <c r="B6" s="5">
        <v>46120</v>
      </c>
      <c r="C6" t="s">
        <v>38</v>
      </c>
      <c r="D6" t="s">
        <v>55</v>
      </c>
      <c r="E6" t="s">
        <v>44</v>
      </c>
      <c r="F6" t="s">
        <v>35</v>
      </c>
      <c r="G6">
        <v>2</v>
      </c>
      <c r="H6" s="6">
        <v>90000</v>
      </c>
      <c r="I6" s="6">
        <v>180000</v>
      </c>
      <c r="J6" t="s">
        <v>57</v>
      </c>
      <c r="K6" t="s">
        <v>40</v>
      </c>
      <c r="L6" t="s">
        <v>85</v>
      </c>
    </row>
    <row r="7" spans="1:12" x14ac:dyDescent="0.25">
      <c r="A7">
        <v>10006</v>
      </c>
      <c r="B7" s="5">
        <v>46160</v>
      </c>
      <c r="C7" t="s">
        <v>38</v>
      </c>
      <c r="D7" t="s">
        <v>63</v>
      </c>
      <c r="E7" t="s">
        <v>74</v>
      </c>
      <c r="F7" t="s">
        <v>33</v>
      </c>
      <c r="G7">
        <v>8</v>
      </c>
      <c r="H7" s="6">
        <v>220000</v>
      </c>
      <c r="I7" s="6">
        <v>1760000</v>
      </c>
      <c r="J7" t="s">
        <v>41</v>
      </c>
      <c r="K7" t="s">
        <v>40</v>
      </c>
      <c r="L7" t="s">
        <v>84</v>
      </c>
    </row>
    <row r="8" spans="1:12" x14ac:dyDescent="0.25">
      <c r="A8">
        <v>10007</v>
      </c>
      <c r="B8" s="5">
        <v>46034</v>
      </c>
      <c r="C8" t="s">
        <v>72</v>
      </c>
      <c r="D8" t="s">
        <v>47</v>
      </c>
      <c r="E8" t="s">
        <v>52</v>
      </c>
      <c r="F8" t="s">
        <v>35</v>
      </c>
      <c r="G8">
        <v>2</v>
      </c>
      <c r="H8" s="6">
        <v>30000</v>
      </c>
      <c r="I8" s="6">
        <v>60000</v>
      </c>
      <c r="J8" t="s">
        <v>57</v>
      </c>
      <c r="K8" t="s">
        <v>56</v>
      </c>
      <c r="L8" t="s">
        <v>85</v>
      </c>
    </row>
    <row r="9" spans="1:12" x14ac:dyDescent="0.25">
      <c r="A9">
        <v>10008</v>
      </c>
      <c r="B9" s="5">
        <v>46094</v>
      </c>
      <c r="C9" t="s">
        <v>62</v>
      </c>
      <c r="D9" t="s">
        <v>73</v>
      </c>
      <c r="E9" t="s">
        <v>43</v>
      </c>
      <c r="F9" t="s">
        <v>34</v>
      </c>
      <c r="G9">
        <v>7</v>
      </c>
      <c r="H9" s="6">
        <v>35000</v>
      </c>
      <c r="I9" s="6">
        <v>245000</v>
      </c>
      <c r="J9" t="s">
        <v>57</v>
      </c>
      <c r="K9" t="s">
        <v>40</v>
      </c>
      <c r="L9" t="s">
        <v>86</v>
      </c>
    </row>
    <row r="10" spans="1:12" x14ac:dyDescent="0.25">
      <c r="A10">
        <v>10009</v>
      </c>
      <c r="B10" s="5">
        <v>46202</v>
      </c>
      <c r="C10" t="s">
        <v>72</v>
      </c>
      <c r="D10" t="s">
        <v>73</v>
      </c>
      <c r="E10" t="s">
        <v>52</v>
      </c>
      <c r="F10" t="s">
        <v>35</v>
      </c>
      <c r="G10">
        <v>5</v>
      </c>
      <c r="H10" s="6">
        <v>30000</v>
      </c>
      <c r="I10" s="6">
        <v>150000</v>
      </c>
      <c r="J10" t="s">
        <v>41</v>
      </c>
      <c r="K10" t="s">
        <v>40</v>
      </c>
      <c r="L10" t="s">
        <v>85</v>
      </c>
    </row>
    <row r="11" spans="1:12" x14ac:dyDescent="0.25">
      <c r="A11">
        <v>10010</v>
      </c>
      <c r="B11" s="5">
        <v>46141</v>
      </c>
      <c r="C11" t="s">
        <v>62</v>
      </c>
      <c r="D11" t="s">
        <v>55</v>
      </c>
      <c r="E11" t="s">
        <v>51</v>
      </c>
      <c r="F11" t="s">
        <v>34</v>
      </c>
      <c r="G11">
        <v>3</v>
      </c>
      <c r="H11" s="6">
        <v>55000</v>
      </c>
      <c r="I11" s="6">
        <v>165000</v>
      </c>
      <c r="J11" t="s">
        <v>49</v>
      </c>
      <c r="K11" t="s">
        <v>40</v>
      </c>
      <c r="L11" t="s">
        <v>86</v>
      </c>
    </row>
    <row r="12" spans="1:12" x14ac:dyDescent="0.25">
      <c r="A12">
        <v>10011</v>
      </c>
      <c r="B12" s="5">
        <v>46229</v>
      </c>
      <c r="C12" t="s">
        <v>54</v>
      </c>
      <c r="D12" t="s">
        <v>63</v>
      </c>
      <c r="E12" t="s">
        <v>50</v>
      </c>
      <c r="F12" t="s">
        <v>33</v>
      </c>
      <c r="G12">
        <v>1</v>
      </c>
      <c r="H12" s="6">
        <v>12000</v>
      </c>
      <c r="I12" s="6">
        <v>12000</v>
      </c>
      <c r="J12" t="s">
        <v>57</v>
      </c>
      <c r="K12" t="s">
        <v>40</v>
      </c>
      <c r="L12" t="s">
        <v>84</v>
      </c>
    </row>
    <row r="13" spans="1:12" x14ac:dyDescent="0.25">
      <c r="A13">
        <v>10012</v>
      </c>
      <c r="B13" s="5">
        <v>46124</v>
      </c>
      <c r="C13" t="s">
        <v>72</v>
      </c>
      <c r="D13" t="s">
        <v>63</v>
      </c>
      <c r="E13" t="s">
        <v>52</v>
      </c>
      <c r="F13" t="s">
        <v>35</v>
      </c>
      <c r="G13">
        <v>8</v>
      </c>
      <c r="H13" s="6">
        <v>30000</v>
      </c>
      <c r="I13" s="6">
        <v>240000</v>
      </c>
      <c r="J13" t="s">
        <v>49</v>
      </c>
      <c r="K13" t="s">
        <v>40</v>
      </c>
      <c r="L13" t="s">
        <v>85</v>
      </c>
    </row>
    <row r="14" spans="1:12" x14ac:dyDescent="0.25">
      <c r="A14">
        <v>10013</v>
      </c>
      <c r="B14" s="5">
        <v>46252</v>
      </c>
      <c r="C14" t="s">
        <v>69</v>
      </c>
      <c r="D14" t="s">
        <v>63</v>
      </c>
      <c r="E14" t="s">
        <v>59</v>
      </c>
      <c r="F14" t="s">
        <v>34</v>
      </c>
      <c r="G14">
        <v>7</v>
      </c>
      <c r="H14" s="6">
        <v>70000</v>
      </c>
      <c r="I14" s="6">
        <v>490000</v>
      </c>
      <c r="J14" t="s">
        <v>57</v>
      </c>
      <c r="K14" t="s">
        <v>40</v>
      </c>
      <c r="L14" t="s">
        <v>86</v>
      </c>
    </row>
    <row r="15" spans="1:12" x14ac:dyDescent="0.25">
      <c r="A15">
        <v>10014</v>
      </c>
      <c r="B15" s="5">
        <v>46216</v>
      </c>
      <c r="C15" t="s">
        <v>38</v>
      </c>
      <c r="D15" t="s">
        <v>39</v>
      </c>
      <c r="E15" t="s">
        <v>66</v>
      </c>
      <c r="F15" t="s">
        <v>34</v>
      </c>
      <c r="G15">
        <v>2</v>
      </c>
      <c r="H15" s="6">
        <v>120000</v>
      </c>
      <c r="I15" s="6">
        <v>240000</v>
      </c>
      <c r="J15" t="s">
        <v>49</v>
      </c>
      <c r="K15" t="s">
        <v>40</v>
      </c>
      <c r="L15" t="s">
        <v>86</v>
      </c>
    </row>
    <row r="16" spans="1:12" x14ac:dyDescent="0.25">
      <c r="A16">
        <v>10015</v>
      </c>
      <c r="B16" s="5">
        <v>46120</v>
      </c>
      <c r="C16" t="s">
        <v>69</v>
      </c>
      <c r="D16" t="s">
        <v>63</v>
      </c>
      <c r="E16" t="s">
        <v>45</v>
      </c>
      <c r="F16" t="s">
        <v>36</v>
      </c>
      <c r="G16">
        <v>7</v>
      </c>
      <c r="H16" s="6">
        <v>140000</v>
      </c>
      <c r="I16" s="6">
        <v>980000</v>
      </c>
      <c r="J16" t="s">
        <v>57</v>
      </c>
      <c r="K16" t="s">
        <v>56</v>
      </c>
      <c r="L16" t="s">
        <v>87</v>
      </c>
    </row>
    <row r="17" spans="1:12" x14ac:dyDescent="0.25">
      <c r="A17">
        <v>10016</v>
      </c>
      <c r="B17" s="5">
        <v>46197</v>
      </c>
      <c r="C17" t="s">
        <v>69</v>
      </c>
      <c r="D17" t="s">
        <v>55</v>
      </c>
      <c r="E17" t="s">
        <v>74</v>
      </c>
      <c r="F17" t="s">
        <v>33</v>
      </c>
      <c r="G17">
        <v>2</v>
      </c>
      <c r="H17" s="6">
        <v>220000</v>
      </c>
      <c r="I17" s="6">
        <v>440000</v>
      </c>
      <c r="J17" t="s">
        <v>57</v>
      </c>
      <c r="K17" t="s">
        <v>40</v>
      </c>
      <c r="L17" t="s">
        <v>84</v>
      </c>
    </row>
    <row r="18" spans="1:12" x14ac:dyDescent="0.25">
      <c r="A18">
        <v>10017</v>
      </c>
      <c r="B18" s="5">
        <v>46023</v>
      </c>
      <c r="C18" t="s">
        <v>72</v>
      </c>
      <c r="D18" t="s">
        <v>73</v>
      </c>
      <c r="E18" t="s">
        <v>53</v>
      </c>
      <c r="F18" t="s">
        <v>36</v>
      </c>
      <c r="G18">
        <v>8</v>
      </c>
      <c r="H18" s="6">
        <v>180000</v>
      </c>
      <c r="I18" s="6">
        <v>1440000</v>
      </c>
      <c r="J18" t="s">
        <v>57</v>
      </c>
      <c r="K18" t="s">
        <v>56</v>
      </c>
      <c r="L18" t="s">
        <v>87</v>
      </c>
    </row>
    <row r="19" spans="1:12" x14ac:dyDescent="0.25">
      <c r="A19">
        <v>10018</v>
      </c>
      <c r="B19" s="5">
        <v>46238</v>
      </c>
      <c r="C19" t="s">
        <v>72</v>
      </c>
      <c r="D19" t="s">
        <v>70</v>
      </c>
      <c r="E19" t="s">
        <v>43</v>
      </c>
      <c r="F19" t="s">
        <v>34</v>
      </c>
      <c r="G19">
        <v>5</v>
      </c>
      <c r="H19" s="6">
        <v>35000</v>
      </c>
      <c r="I19" s="6">
        <v>175000</v>
      </c>
      <c r="J19" t="s">
        <v>49</v>
      </c>
      <c r="K19" t="s">
        <v>40</v>
      </c>
      <c r="L19" t="s">
        <v>86</v>
      </c>
    </row>
    <row r="20" spans="1:12" x14ac:dyDescent="0.25">
      <c r="A20">
        <v>10019</v>
      </c>
      <c r="B20" s="5">
        <v>46148</v>
      </c>
      <c r="C20" t="s">
        <v>38</v>
      </c>
      <c r="D20" t="s">
        <v>39</v>
      </c>
      <c r="E20" t="s">
        <v>43</v>
      </c>
      <c r="F20" t="s">
        <v>34</v>
      </c>
      <c r="G20">
        <v>6</v>
      </c>
      <c r="H20" s="6">
        <v>35000</v>
      </c>
      <c r="I20" s="6">
        <v>210000</v>
      </c>
      <c r="J20" t="s">
        <v>57</v>
      </c>
      <c r="K20" t="s">
        <v>48</v>
      </c>
      <c r="L20" t="s">
        <v>86</v>
      </c>
    </row>
    <row r="21" spans="1:12" x14ac:dyDescent="0.25">
      <c r="A21">
        <v>10020</v>
      </c>
      <c r="B21" s="5">
        <v>46084</v>
      </c>
      <c r="C21" t="s">
        <v>69</v>
      </c>
      <c r="D21" t="s">
        <v>39</v>
      </c>
      <c r="E21" t="s">
        <v>52</v>
      </c>
      <c r="F21" t="s">
        <v>35</v>
      </c>
      <c r="G21">
        <v>1</v>
      </c>
      <c r="H21" s="6">
        <v>30000</v>
      </c>
      <c r="I21" s="6">
        <v>30000</v>
      </c>
      <c r="J21" t="s">
        <v>41</v>
      </c>
      <c r="K21" t="s">
        <v>40</v>
      </c>
      <c r="L21" t="s">
        <v>85</v>
      </c>
    </row>
    <row r="22" spans="1:12" x14ac:dyDescent="0.25">
      <c r="A22">
        <v>10021</v>
      </c>
      <c r="B22" s="5">
        <v>46055</v>
      </c>
      <c r="C22" t="s">
        <v>72</v>
      </c>
      <c r="D22" t="s">
        <v>63</v>
      </c>
      <c r="E22" t="s">
        <v>71</v>
      </c>
      <c r="F22" t="s">
        <v>33</v>
      </c>
      <c r="G22">
        <v>3</v>
      </c>
      <c r="H22" s="6">
        <v>45000</v>
      </c>
      <c r="I22" s="6">
        <v>135000</v>
      </c>
      <c r="J22" t="s">
        <v>49</v>
      </c>
      <c r="K22" t="s">
        <v>40</v>
      </c>
      <c r="L22" t="s">
        <v>84</v>
      </c>
    </row>
    <row r="23" spans="1:12" x14ac:dyDescent="0.25">
      <c r="A23">
        <v>10022</v>
      </c>
      <c r="B23" s="5">
        <v>46205</v>
      </c>
      <c r="C23" t="s">
        <v>54</v>
      </c>
      <c r="D23" t="s">
        <v>63</v>
      </c>
      <c r="E23" t="s">
        <v>53</v>
      </c>
      <c r="F23" t="s">
        <v>36</v>
      </c>
      <c r="G23">
        <v>4</v>
      </c>
      <c r="H23" s="6">
        <v>180000</v>
      </c>
      <c r="I23" s="6">
        <v>720000</v>
      </c>
      <c r="J23" t="s">
        <v>57</v>
      </c>
      <c r="K23" t="s">
        <v>40</v>
      </c>
      <c r="L23" t="s">
        <v>87</v>
      </c>
    </row>
    <row r="24" spans="1:12" x14ac:dyDescent="0.25">
      <c r="A24">
        <v>10023</v>
      </c>
      <c r="B24" s="5">
        <v>46080</v>
      </c>
      <c r="C24" t="s">
        <v>38</v>
      </c>
      <c r="D24" t="s">
        <v>55</v>
      </c>
      <c r="E24" t="s">
        <v>45</v>
      </c>
      <c r="F24" t="s">
        <v>36</v>
      </c>
      <c r="G24">
        <v>4</v>
      </c>
      <c r="H24" s="6">
        <v>140000</v>
      </c>
      <c r="I24" s="6">
        <v>560000</v>
      </c>
      <c r="J24" t="s">
        <v>41</v>
      </c>
      <c r="K24" t="s">
        <v>40</v>
      </c>
      <c r="L24" t="s">
        <v>87</v>
      </c>
    </row>
    <row r="25" spans="1:12" x14ac:dyDescent="0.25">
      <c r="A25">
        <v>10024</v>
      </c>
      <c r="B25" s="5">
        <v>46041</v>
      </c>
      <c r="C25" t="s">
        <v>72</v>
      </c>
      <c r="D25" t="s">
        <v>73</v>
      </c>
      <c r="E25" t="s">
        <v>51</v>
      </c>
      <c r="F25" t="s">
        <v>34</v>
      </c>
      <c r="G25">
        <v>1</v>
      </c>
      <c r="H25" s="6">
        <v>55000</v>
      </c>
      <c r="I25" s="6">
        <v>55000</v>
      </c>
      <c r="J25" t="s">
        <v>41</v>
      </c>
      <c r="K25" t="s">
        <v>40</v>
      </c>
      <c r="L25" t="s">
        <v>86</v>
      </c>
    </row>
    <row r="26" spans="1:12" x14ac:dyDescent="0.25">
      <c r="A26">
        <v>10025</v>
      </c>
      <c r="B26" s="5">
        <v>46154</v>
      </c>
      <c r="C26" t="s">
        <v>46</v>
      </c>
      <c r="D26" t="s">
        <v>55</v>
      </c>
      <c r="E26" t="s">
        <v>58</v>
      </c>
      <c r="F26" t="s">
        <v>33</v>
      </c>
      <c r="G26">
        <v>2</v>
      </c>
      <c r="H26" s="6">
        <v>25000</v>
      </c>
      <c r="I26" s="6">
        <v>50000</v>
      </c>
      <c r="J26" t="s">
        <v>64</v>
      </c>
      <c r="K26" t="s">
        <v>40</v>
      </c>
      <c r="L26" t="s">
        <v>84</v>
      </c>
    </row>
    <row r="27" spans="1:12" x14ac:dyDescent="0.25">
      <c r="A27">
        <v>10026</v>
      </c>
      <c r="B27" s="5">
        <v>46223</v>
      </c>
      <c r="C27" t="s">
        <v>62</v>
      </c>
      <c r="D27" t="s">
        <v>63</v>
      </c>
      <c r="E27" t="s">
        <v>66</v>
      </c>
      <c r="F27" t="s">
        <v>34</v>
      </c>
      <c r="G27">
        <v>4</v>
      </c>
      <c r="H27" s="6">
        <v>120000</v>
      </c>
      <c r="I27" s="6">
        <v>480000</v>
      </c>
      <c r="J27" t="s">
        <v>49</v>
      </c>
      <c r="K27" t="s">
        <v>40</v>
      </c>
      <c r="L27" t="s">
        <v>86</v>
      </c>
    </row>
    <row r="28" spans="1:12" x14ac:dyDescent="0.25">
      <c r="A28">
        <v>10027</v>
      </c>
      <c r="B28" s="5">
        <v>46128</v>
      </c>
      <c r="C28" t="s">
        <v>62</v>
      </c>
      <c r="D28" t="s">
        <v>73</v>
      </c>
      <c r="E28" t="s">
        <v>61</v>
      </c>
      <c r="F28" t="s">
        <v>36</v>
      </c>
      <c r="G28">
        <v>7</v>
      </c>
      <c r="H28" s="6">
        <v>45000</v>
      </c>
      <c r="I28" s="6">
        <v>315000</v>
      </c>
      <c r="J28" t="s">
        <v>41</v>
      </c>
      <c r="K28" t="s">
        <v>40</v>
      </c>
      <c r="L28" t="s">
        <v>87</v>
      </c>
    </row>
    <row r="29" spans="1:12" x14ac:dyDescent="0.25">
      <c r="A29">
        <v>10028</v>
      </c>
      <c r="B29" s="5">
        <v>46209</v>
      </c>
      <c r="C29" t="s">
        <v>54</v>
      </c>
      <c r="D29" t="s">
        <v>39</v>
      </c>
      <c r="E29" t="s">
        <v>42</v>
      </c>
      <c r="F29" t="s">
        <v>33</v>
      </c>
      <c r="G29">
        <v>7</v>
      </c>
      <c r="H29" s="6">
        <v>650000</v>
      </c>
      <c r="I29" s="6">
        <v>4550000</v>
      </c>
      <c r="J29" t="s">
        <v>49</v>
      </c>
      <c r="K29" t="s">
        <v>40</v>
      </c>
      <c r="L29" t="s">
        <v>84</v>
      </c>
    </row>
    <row r="30" spans="1:12" x14ac:dyDescent="0.25">
      <c r="A30">
        <v>10029</v>
      </c>
      <c r="B30" s="5">
        <v>46069</v>
      </c>
      <c r="C30" t="s">
        <v>54</v>
      </c>
      <c r="D30" t="s">
        <v>63</v>
      </c>
      <c r="E30" t="s">
        <v>53</v>
      </c>
      <c r="F30" t="s">
        <v>36</v>
      </c>
      <c r="G30">
        <v>7</v>
      </c>
      <c r="H30" s="6">
        <v>180000</v>
      </c>
      <c r="I30" s="6">
        <v>1260000</v>
      </c>
      <c r="J30" t="s">
        <v>49</v>
      </c>
      <c r="K30" t="s">
        <v>48</v>
      </c>
      <c r="L30" t="s">
        <v>87</v>
      </c>
    </row>
    <row r="31" spans="1:12" x14ac:dyDescent="0.25">
      <c r="A31">
        <v>10030</v>
      </c>
      <c r="B31" s="5">
        <v>46035</v>
      </c>
      <c r="C31" t="s">
        <v>72</v>
      </c>
      <c r="D31" t="s">
        <v>70</v>
      </c>
      <c r="E31" t="s">
        <v>65</v>
      </c>
      <c r="F31" t="s">
        <v>33</v>
      </c>
      <c r="G31">
        <v>2</v>
      </c>
      <c r="H31" s="6">
        <v>180000</v>
      </c>
      <c r="I31" s="6">
        <v>360000</v>
      </c>
      <c r="J31" t="s">
        <v>41</v>
      </c>
      <c r="K31" t="s">
        <v>56</v>
      </c>
      <c r="L31" t="s">
        <v>84</v>
      </c>
    </row>
    <row r="32" spans="1:12" x14ac:dyDescent="0.25">
      <c r="A32">
        <v>10031</v>
      </c>
      <c r="B32" s="5">
        <v>46147</v>
      </c>
      <c r="C32" t="s">
        <v>62</v>
      </c>
      <c r="D32" t="s">
        <v>47</v>
      </c>
      <c r="E32" t="s">
        <v>51</v>
      </c>
      <c r="F32" t="s">
        <v>34</v>
      </c>
      <c r="G32">
        <v>7</v>
      </c>
      <c r="H32" s="6">
        <v>55000</v>
      </c>
      <c r="I32" s="6">
        <v>385000</v>
      </c>
      <c r="J32" t="s">
        <v>64</v>
      </c>
      <c r="K32" t="s">
        <v>48</v>
      </c>
      <c r="L32" t="s">
        <v>86</v>
      </c>
    </row>
    <row r="33" spans="1:12" x14ac:dyDescent="0.25">
      <c r="A33">
        <v>10032</v>
      </c>
      <c r="B33" s="5">
        <v>46122</v>
      </c>
      <c r="C33" t="s">
        <v>54</v>
      </c>
      <c r="D33" t="s">
        <v>63</v>
      </c>
      <c r="E33" t="s">
        <v>66</v>
      </c>
      <c r="F33" t="s">
        <v>34</v>
      </c>
      <c r="G33">
        <v>1</v>
      </c>
      <c r="H33" s="6">
        <v>120000</v>
      </c>
      <c r="I33" s="6">
        <v>120000</v>
      </c>
      <c r="J33" t="s">
        <v>57</v>
      </c>
      <c r="K33" t="s">
        <v>40</v>
      </c>
      <c r="L33" t="s">
        <v>86</v>
      </c>
    </row>
    <row r="34" spans="1:12" x14ac:dyDescent="0.25">
      <c r="A34">
        <v>10033</v>
      </c>
      <c r="B34" s="5">
        <v>46098</v>
      </c>
      <c r="C34" t="s">
        <v>46</v>
      </c>
      <c r="D34" t="s">
        <v>39</v>
      </c>
      <c r="E34" t="s">
        <v>53</v>
      </c>
      <c r="F34" t="s">
        <v>36</v>
      </c>
      <c r="G34">
        <v>4</v>
      </c>
      <c r="H34" s="6">
        <v>180000</v>
      </c>
      <c r="I34" s="6">
        <v>720000</v>
      </c>
      <c r="J34" t="s">
        <v>41</v>
      </c>
      <c r="K34" t="s">
        <v>40</v>
      </c>
      <c r="L34" t="s">
        <v>87</v>
      </c>
    </row>
    <row r="35" spans="1:12" x14ac:dyDescent="0.25">
      <c r="A35">
        <v>10034</v>
      </c>
      <c r="B35" s="5">
        <v>46151</v>
      </c>
      <c r="C35" t="s">
        <v>69</v>
      </c>
      <c r="D35" t="s">
        <v>47</v>
      </c>
      <c r="E35" t="s">
        <v>42</v>
      </c>
      <c r="F35" t="s">
        <v>33</v>
      </c>
      <c r="G35">
        <v>8</v>
      </c>
      <c r="H35" s="6">
        <v>650000</v>
      </c>
      <c r="I35" s="6">
        <v>5200000</v>
      </c>
      <c r="J35" t="s">
        <v>41</v>
      </c>
      <c r="K35" t="s">
        <v>56</v>
      </c>
      <c r="L35" t="s">
        <v>84</v>
      </c>
    </row>
    <row r="36" spans="1:12" x14ac:dyDescent="0.25">
      <c r="A36">
        <v>10035</v>
      </c>
      <c r="B36" s="5">
        <v>46175</v>
      </c>
      <c r="C36" t="s">
        <v>38</v>
      </c>
      <c r="D36" t="s">
        <v>73</v>
      </c>
      <c r="E36" t="s">
        <v>50</v>
      </c>
      <c r="F36" t="s">
        <v>33</v>
      </c>
      <c r="G36">
        <v>2</v>
      </c>
      <c r="H36" s="6">
        <v>12000</v>
      </c>
      <c r="I36" s="6">
        <v>24000</v>
      </c>
      <c r="J36" t="s">
        <v>49</v>
      </c>
      <c r="K36" t="s">
        <v>40</v>
      </c>
      <c r="L36" t="s">
        <v>84</v>
      </c>
    </row>
    <row r="37" spans="1:12" x14ac:dyDescent="0.25">
      <c r="A37">
        <v>10036</v>
      </c>
      <c r="B37" s="5">
        <v>46130</v>
      </c>
      <c r="C37" t="s">
        <v>72</v>
      </c>
      <c r="D37" t="s">
        <v>70</v>
      </c>
      <c r="E37" t="s">
        <v>43</v>
      </c>
      <c r="F37" t="s">
        <v>34</v>
      </c>
      <c r="G37">
        <v>2</v>
      </c>
      <c r="H37" s="6">
        <v>35000</v>
      </c>
      <c r="I37" s="6">
        <v>70000</v>
      </c>
      <c r="J37" t="s">
        <v>57</v>
      </c>
      <c r="K37" t="s">
        <v>56</v>
      </c>
      <c r="L37" t="s">
        <v>86</v>
      </c>
    </row>
    <row r="38" spans="1:12" x14ac:dyDescent="0.25">
      <c r="A38">
        <v>10037</v>
      </c>
      <c r="B38" s="5">
        <v>46090</v>
      </c>
      <c r="C38" t="s">
        <v>62</v>
      </c>
      <c r="D38" t="s">
        <v>47</v>
      </c>
      <c r="E38" t="s">
        <v>59</v>
      </c>
      <c r="F38" t="s">
        <v>34</v>
      </c>
      <c r="G38">
        <v>4</v>
      </c>
      <c r="H38" s="6">
        <v>70000</v>
      </c>
      <c r="I38" s="6">
        <v>280000</v>
      </c>
      <c r="J38" t="s">
        <v>57</v>
      </c>
      <c r="K38" t="s">
        <v>40</v>
      </c>
      <c r="L38" t="s">
        <v>86</v>
      </c>
    </row>
    <row r="39" spans="1:12" x14ac:dyDescent="0.25">
      <c r="A39">
        <v>10038</v>
      </c>
      <c r="B39" s="5">
        <v>46182</v>
      </c>
      <c r="C39" t="s">
        <v>69</v>
      </c>
      <c r="D39" t="s">
        <v>39</v>
      </c>
      <c r="E39" t="s">
        <v>42</v>
      </c>
      <c r="F39" t="s">
        <v>33</v>
      </c>
      <c r="G39">
        <v>8</v>
      </c>
      <c r="H39" s="6">
        <v>650000</v>
      </c>
      <c r="I39" s="6">
        <v>5200000</v>
      </c>
      <c r="J39" t="s">
        <v>41</v>
      </c>
      <c r="K39" t="s">
        <v>40</v>
      </c>
      <c r="L39" t="s">
        <v>84</v>
      </c>
    </row>
    <row r="40" spans="1:12" x14ac:dyDescent="0.25">
      <c r="A40">
        <v>10039</v>
      </c>
      <c r="B40" s="5">
        <v>46248</v>
      </c>
      <c r="C40" t="s">
        <v>38</v>
      </c>
      <c r="D40" t="s">
        <v>47</v>
      </c>
      <c r="E40" t="s">
        <v>52</v>
      </c>
      <c r="F40" t="s">
        <v>35</v>
      </c>
      <c r="G40">
        <v>6</v>
      </c>
      <c r="H40" s="6">
        <v>30000</v>
      </c>
      <c r="I40" s="6">
        <v>180000</v>
      </c>
      <c r="J40" t="s">
        <v>57</v>
      </c>
      <c r="K40" t="s">
        <v>40</v>
      </c>
      <c r="L40" t="s">
        <v>85</v>
      </c>
    </row>
    <row r="41" spans="1:12" x14ac:dyDescent="0.25">
      <c r="A41">
        <v>10040</v>
      </c>
      <c r="B41" s="5">
        <v>46193</v>
      </c>
      <c r="C41" t="s">
        <v>69</v>
      </c>
      <c r="D41" t="s">
        <v>55</v>
      </c>
      <c r="E41" t="s">
        <v>61</v>
      </c>
      <c r="F41" t="s">
        <v>36</v>
      </c>
      <c r="G41">
        <v>1</v>
      </c>
      <c r="H41" s="6">
        <v>45000</v>
      </c>
      <c r="I41" s="6">
        <v>45000</v>
      </c>
      <c r="J41" t="s">
        <v>41</v>
      </c>
      <c r="K41" t="s">
        <v>56</v>
      </c>
      <c r="L41" t="s">
        <v>87</v>
      </c>
    </row>
    <row r="42" spans="1:12" x14ac:dyDescent="0.25">
      <c r="A42">
        <v>10041</v>
      </c>
      <c r="B42" s="5">
        <v>46250</v>
      </c>
      <c r="C42" t="s">
        <v>38</v>
      </c>
      <c r="D42" t="s">
        <v>73</v>
      </c>
      <c r="E42" t="s">
        <v>59</v>
      </c>
      <c r="F42" t="s">
        <v>34</v>
      </c>
      <c r="G42">
        <v>2</v>
      </c>
      <c r="H42" s="6">
        <v>70000</v>
      </c>
      <c r="I42" s="6">
        <v>140000</v>
      </c>
      <c r="J42" t="s">
        <v>49</v>
      </c>
      <c r="K42" t="s">
        <v>40</v>
      </c>
      <c r="L42" t="s">
        <v>86</v>
      </c>
    </row>
    <row r="43" spans="1:12" x14ac:dyDescent="0.25">
      <c r="A43">
        <v>10042</v>
      </c>
      <c r="B43" s="5">
        <v>46198</v>
      </c>
      <c r="C43" t="s">
        <v>72</v>
      </c>
      <c r="D43" t="s">
        <v>55</v>
      </c>
      <c r="E43" t="s">
        <v>59</v>
      </c>
      <c r="F43" t="s">
        <v>34</v>
      </c>
      <c r="G43">
        <v>4</v>
      </c>
      <c r="H43" s="6">
        <v>70000</v>
      </c>
      <c r="I43" s="6">
        <v>280000</v>
      </c>
      <c r="J43" t="s">
        <v>64</v>
      </c>
      <c r="K43" t="s">
        <v>40</v>
      </c>
      <c r="L43" t="s">
        <v>86</v>
      </c>
    </row>
    <row r="44" spans="1:12" x14ac:dyDescent="0.25">
      <c r="A44">
        <v>10043</v>
      </c>
      <c r="B44" s="5">
        <v>46235</v>
      </c>
      <c r="C44" t="s">
        <v>54</v>
      </c>
      <c r="D44" t="s">
        <v>39</v>
      </c>
      <c r="E44" t="s">
        <v>42</v>
      </c>
      <c r="F44" t="s">
        <v>33</v>
      </c>
      <c r="G44">
        <v>7</v>
      </c>
      <c r="H44" s="6">
        <v>650000</v>
      </c>
      <c r="I44" s="6">
        <v>4550000</v>
      </c>
      <c r="J44" t="s">
        <v>41</v>
      </c>
      <c r="K44" t="s">
        <v>40</v>
      </c>
      <c r="L44" t="s">
        <v>84</v>
      </c>
    </row>
    <row r="45" spans="1:12" x14ac:dyDescent="0.25">
      <c r="A45">
        <v>10044</v>
      </c>
      <c r="B45" s="5">
        <v>46212</v>
      </c>
      <c r="C45" t="s">
        <v>62</v>
      </c>
      <c r="D45" t="s">
        <v>70</v>
      </c>
      <c r="E45" t="s">
        <v>59</v>
      </c>
      <c r="F45" t="s">
        <v>34</v>
      </c>
      <c r="G45">
        <v>3</v>
      </c>
      <c r="H45" s="6">
        <v>70000</v>
      </c>
      <c r="I45" s="6">
        <v>210000</v>
      </c>
      <c r="J45" t="s">
        <v>64</v>
      </c>
      <c r="K45" t="s">
        <v>40</v>
      </c>
      <c r="L45" t="s">
        <v>86</v>
      </c>
    </row>
    <row r="46" spans="1:12" x14ac:dyDescent="0.25">
      <c r="A46">
        <v>10045</v>
      </c>
      <c r="B46" s="5">
        <v>46162</v>
      </c>
      <c r="C46" t="s">
        <v>38</v>
      </c>
      <c r="D46" t="s">
        <v>55</v>
      </c>
      <c r="E46" t="s">
        <v>42</v>
      </c>
      <c r="F46" t="s">
        <v>33</v>
      </c>
      <c r="G46">
        <v>3</v>
      </c>
      <c r="H46" s="6">
        <v>650000</v>
      </c>
      <c r="I46" s="6">
        <v>1950000</v>
      </c>
      <c r="J46" t="s">
        <v>49</v>
      </c>
      <c r="K46" t="s">
        <v>40</v>
      </c>
      <c r="L46" t="s">
        <v>84</v>
      </c>
    </row>
    <row r="47" spans="1:12" x14ac:dyDescent="0.25">
      <c r="A47">
        <v>10046</v>
      </c>
      <c r="B47" s="5">
        <v>46253</v>
      </c>
      <c r="C47" t="s">
        <v>38</v>
      </c>
      <c r="D47" t="s">
        <v>55</v>
      </c>
      <c r="E47" t="s">
        <v>58</v>
      </c>
      <c r="F47" t="s">
        <v>33</v>
      </c>
      <c r="G47">
        <v>6</v>
      </c>
      <c r="H47" s="6">
        <v>25000</v>
      </c>
      <c r="I47" s="6">
        <v>150000</v>
      </c>
      <c r="J47" t="s">
        <v>49</v>
      </c>
      <c r="K47" t="s">
        <v>40</v>
      </c>
      <c r="L47" t="s">
        <v>84</v>
      </c>
    </row>
    <row r="48" spans="1:12" x14ac:dyDescent="0.25">
      <c r="A48">
        <v>10047</v>
      </c>
      <c r="B48" s="5">
        <v>46181</v>
      </c>
      <c r="C48" t="s">
        <v>72</v>
      </c>
      <c r="D48" t="s">
        <v>47</v>
      </c>
      <c r="E48" t="s">
        <v>58</v>
      </c>
      <c r="F48" t="s">
        <v>33</v>
      </c>
      <c r="G48">
        <v>7</v>
      </c>
      <c r="H48" s="6">
        <v>25000</v>
      </c>
      <c r="I48" s="6">
        <v>175000</v>
      </c>
      <c r="J48" t="s">
        <v>49</v>
      </c>
      <c r="K48" t="s">
        <v>48</v>
      </c>
      <c r="L48" t="s">
        <v>84</v>
      </c>
    </row>
    <row r="49" spans="1:12" x14ac:dyDescent="0.25">
      <c r="A49">
        <v>10048</v>
      </c>
      <c r="B49" s="5">
        <v>46068</v>
      </c>
      <c r="C49" t="s">
        <v>72</v>
      </c>
      <c r="D49" t="s">
        <v>55</v>
      </c>
      <c r="E49" t="s">
        <v>66</v>
      </c>
      <c r="F49" t="s">
        <v>34</v>
      </c>
      <c r="G49">
        <v>1</v>
      </c>
      <c r="H49" s="6">
        <v>120000</v>
      </c>
      <c r="I49" s="6">
        <v>120000</v>
      </c>
      <c r="J49" t="s">
        <v>64</v>
      </c>
      <c r="K49" t="s">
        <v>48</v>
      </c>
      <c r="L49" t="s">
        <v>86</v>
      </c>
    </row>
    <row r="50" spans="1:12" x14ac:dyDescent="0.25">
      <c r="A50">
        <v>10049</v>
      </c>
      <c r="B50" s="5">
        <v>46224</v>
      </c>
      <c r="C50" t="s">
        <v>72</v>
      </c>
      <c r="D50" t="s">
        <v>39</v>
      </c>
      <c r="E50" t="s">
        <v>59</v>
      </c>
      <c r="F50" t="s">
        <v>34</v>
      </c>
      <c r="G50">
        <v>3</v>
      </c>
      <c r="H50" s="6">
        <v>70000</v>
      </c>
      <c r="I50" s="6">
        <v>210000</v>
      </c>
      <c r="J50" t="s">
        <v>64</v>
      </c>
      <c r="K50" t="s">
        <v>48</v>
      </c>
      <c r="L50" t="s">
        <v>86</v>
      </c>
    </row>
    <row r="51" spans="1:12" x14ac:dyDescent="0.25">
      <c r="A51">
        <v>10050</v>
      </c>
      <c r="B51" s="5">
        <v>46232</v>
      </c>
      <c r="C51" t="s">
        <v>62</v>
      </c>
      <c r="D51" t="s">
        <v>55</v>
      </c>
      <c r="E51" t="s">
        <v>53</v>
      </c>
      <c r="F51" t="s">
        <v>36</v>
      </c>
      <c r="G51">
        <v>4</v>
      </c>
      <c r="H51" s="6">
        <v>180000</v>
      </c>
      <c r="I51" s="6">
        <v>720000</v>
      </c>
      <c r="J51" t="s">
        <v>57</v>
      </c>
      <c r="K51" t="s">
        <v>48</v>
      </c>
      <c r="L51" t="s">
        <v>87</v>
      </c>
    </row>
    <row r="52" spans="1:12" x14ac:dyDescent="0.25">
      <c r="A52">
        <v>10051</v>
      </c>
      <c r="B52" s="5">
        <v>46191</v>
      </c>
      <c r="C52" t="s">
        <v>46</v>
      </c>
      <c r="D52" t="s">
        <v>63</v>
      </c>
      <c r="E52" t="s">
        <v>51</v>
      </c>
      <c r="F52" t="s">
        <v>34</v>
      </c>
      <c r="G52">
        <v>1</v>
      </c>
      <c r="H52" s="6">
        <v>55000</v>
      </c>
      <c r="I52" s="6">
        <v>55000</v>
      </c>
      <c r="J52" t="s">
        <v>57</v>
      </c>
      <c r="K52" t="s">
        <v>40</v>
      </c>
      <c r="L52" t="s">
        <v>86</v>
      </c>
    </row>
    <row r="53" spans="1:12" x14ac:dyDescent="0.25">
      <c r="A53">
        <v>10052</v>
      </c>
      <c r="B53" s="5">
        <v>46187</v>
      </c>
      <c r="C53" t="s">
        <v>69</v>
      </c>
      <c r="D53" t="s">
        <v>63</v>
      </c>
      <c r="E53" t="s">
        <v>58</v>
      </c>
      <c r="F53" t="s">
        <v>33</v>
      </c>
      <c r="G53">
        <v>6</v>
      </c>
      <c r="H53" s="6">
        <v>25000</v>
      </c>
      <c r="I53" s="6">
        <v>150000</v>
      </c>
      <c r="J53" t="s">
        <v>57</v>
      </c>
      <c r="K53" t="s">
        <v>56</v>
      </c>
      <c r="L53" t="s">
        <v>84</v>
      </c>
    </row>
    <row r="54" spans="1:12" x14ac:dyDescent="0.25">
      <c r="A54">
        <v>10053</v>
      </c>
      <c r="B54" s="5">
        <v>46171</v>
      </c>
      <c r="C54" t="s">
        <v>54</v>
      </c>
      <c r="D54" t="s">
        <v>39</v>
      </c>
      <c r="E54" t="s">
        <v>58</v>
      </c>
      <c r="F54" t="s">
        <v>33</v>
      </c>
      <c r="G54">
        <v>3</v>
      </c>
      <c r="H54" s="6">
        <v>25000</v>
      </c>
      <c r="I54" s="6">
        <v>75000</v>
      </c>
      <c r="J54" t="s">
        <v>41</v>
      </c>
      <c r="K54" t="s">
        <v>40</v>
      </c>
      <c r="L54" t="s">
        <v>84</v>
      </c>
    </row>
    <row r="55" spans="1:12" x14ac:dyDescent="0.25">
      <c r="A55">
        <v>10054</v>
      </c>
      <c r="B55" s="5">
        <v>46178</v>
      </c>
      <c r="C55" t="s">
        <v>69</v>
      </c>
      <c r="D55" t="s">
        <v>39</v>
      </c>
      <c r="E55" t="s">
        <v>60</v>
      </c>
      <c r="F55" t="s">
        <v>35</v>
      </c>
      <c r="G55">
        <v>7</v>
      </c>
      <c r="H55" s="6">
        <v>65000</v>
      </c>
      <c r="I55" s="6">
        <v>455000</v>
      </c>
      <c r="J55" t="s">
        <v>64</v>
      </c>
      <c r="K55" t="s">
        <v>48</v>
      </c>
      <c r="L55" t="s">
        <v>85</v>
      </c>
    </row>
    <row r="56" spans="1:12" x14ac:dyDescent="0.25">
      <c r="A56">
        <v>10055</v>
      </c>
      <c r="B56" s="5">
        <v>46204</v>
      </c>
      <c r="C56" t="s">
        <v>62</v>
      </c>
      <c r="D56" t="s">
        <v>39</v>
      </c>
      <c r="E56" t="s">
        <v>59</v>
      </c>
      <c r="F56" t="s">
        <v>34</v>
      </c>
      <c r="G56">
        <v>1</v>
      </c>
      <c r="H56" s="6">
        <v>70000</v>
      </c>
      <c r="I56" s="6">
        <v>70000</v>
      </c>
      <c r="J56" t="s">
        <v>49</v>
      </c>
      <c r="K56" t="s">
        <v>40</v>
      </c>
      <c r="L56" t="s">
        <v>86</v>
      </c>
    </row>
    <row r="57" spans="1:12" x14ac:dyDescent="0.25">
      <c r="A57">
        <v>10056</v>
      </c>
      <c r="B57" s="5">
        <v>46182</v>
      </c>
      <c r="C57" t="s">
        <v>54</v>
      </c>
      <c r="D57" t="s">
        <v>73</v>
      </c>
      <c r="E57" t="s">
        <v>74</v>
      </c>
      <c r="F57" t="s">
        <v>33</v>
      </c>
      <c r="G57">
        <v>6</v>
      </c>
      <c r="H57" s="6">
        <v>220000</v>
      </c>
      <c r="I57" s="6">
        <v>1320000</v>
      </c>
      <c r="J57" t="s">
        <v>41</v>
      </c>
      <c r="K57" t="s">
        <v>40</v>
      </c>
      <c r="L57" t="s">
        <v>84</v>
      </c>
    </row>
    <row r="58" spans="1:12" x14ac:dyDescent="0.25">
      <c r="A58">
        <v>10057</v>
      </c>
      <c r="B58" s="5">
        <v>46106</v>
      </c>
      <c r="C58" t="s">
        <v>62</v>
      </c>
      <c r="D58" t="s">
        <v>73</v>
      </c>
      <c r="E58" t="s">
        <v>60</v>
      </c>
      <c r="F58" t="s">
        <v>35</v>
      </c>
      <c r="G58">
        <v>7</v>
      </c>
      <c r="H58" s="6">
        <v>65000</v>
      </c>
      <c r="I58" s="6">
        <v>455000</v>
      </c>
      <c r="J58" t="s">
        <v>57</v>
      </c>
      <c r="K58" t="s">
        <v>40</v>
      </c>
      <c r="L58" t="s">
        <v>85</v>
      </c>
    </row>
    <row r="59" spans="1:12" x14ac:dyDescent="0.25">
      <c r="A59">
        <v>10058</v>
      </c>
      <c r="B59" s="5">
        <v>46196</v>
      </c>
      <c r="C59" t="s">
        <v>72</v>
      </c>
      <c r="D59" t="s">
        <v>47</v>
      </c>
      <c r="E59" t="s">
        <v>66</v>
      </c>
      <c r="F59" t="s">
        <v>34</v>
      </c>
      <c r="G59">
        <v>7</v>
      </c>
      <c r="H59" s="6">
        <v>120000</v>
      </c>
      <c r="I59" s="6">
        <v>840000</v>
      </c>
      <c r="J59" t="s">
        <v>57</v>
      </c>
      <c r="K59" t="s">
        <v>40</v>
      </c>
      <c r="L59" t="s">
        <v>86</v>
      </c>
    </row>
    <row r="60" spans="1:12" x14ac:dyDescent="0.25">
      <c r="A60">
        <v>10059</v>
      </c>
      <c r="B60" s="5">
        <v>46076</v>
      </c>
      <c r="C60" t="s">
        <v>62</v>
      </c>
      <c r="D60" t="s">
        <v>70</v>
      </c>
      <c r="E60" t="s">
        <v>58</v>
      </c>
      <c r="F60" t="s">
        <v>33</v>
      </c>
      <c r="G60">
        <v>5</v>
      </c>
      <c r="H60" s="6">
        <v>25000</v>
      </c>
      <c r="I60" s="6">
        <v>125000</v>
      </c>
      <c r="J60" t="s">
        <v>57</v>
      </c>
      <c r="K60" t="s">
        <v>40</v>
      </c>
      <c r="L60" t="s">
        <v>84</v>
      </c>
    </row>
    <row r="61" spans="1:12" x14ac:dyDescent="0.25">
      <c r="A61">
        <v>10060</v>
      </c>
      <c r="B61" s="5">
        <v>46226</v>
      </c>
      <c r="C61" t="s">
        <v>72</v>
      </c>
      <c r="D61" t="s">
        <v>47</v>
      </c>
      <c r="E61" t="s">
        <v>53</v>
      </c>
      <c r="F61" t="s">
        <v>36</v>
      </c>
      <c r="G61">
        <v>8</v>
      </c>
      <c r="H61" s="6">
        <v>180000</v>
      </c>
      <c r="I61" s="6">
        <v>1440000</v>
      </c>
      <c r="J61" t="s">
        <v>41</v>
      </c>
      <c r="K61" t="s">
        <v>40</v>
      </c>
      <c r="L61" t="s">
        <v>87</v>
      </c>
    </row>
    <row r="62" spans="1:12" x14ac:dyDescent="0.25">
      <c r="A62">
        <v>10061</v>
      </c>
      <c r="B62" s="5">
        <v>46195</v>
      </c>
      <c r="C62" t="s">
        <v>54</v>
      </c>
      <c r="D62" t="s">
        <v>47</v>
      </c>
      <c r="E62" t="s">
        <v>44</v>
      </c>
      <c r="F62" t="s">
        <v>35</v>
      </c>
      <c r="G62">
        <v>4</v>
      </c>
      <c r="H62" s="6">
        <v>90000</v>
      </c>
      <c r="I62" s="6">
        <v>360000</v>
      </c>
      <c r="J62" t="s">
        <v>49</v>
      </c>
      <c r="K62" t="s">
        <v>40</v>
      </c>
      <c r="L62" t="s">
        <v>85</v>
      </c>
    </row>
    <row r="63" spans="1:12" x14ac:dyDescent="0.25">
      <c r="A63">
        <v>10062</v>
      </c>
      <c r="B63" s="5">
        <v>46179</v>
      </c>
      <c r="C63" t="s">
        <v>38</v>
      </c>
      <c r="D63" t="s">
        <v>63</v>
      </c>
      <c r="E63" t="s">
        <v>50</v>
      </c>
      <c r="F63" t="s">
        <v>33</v>
      </c>
      <c r="G63">
        <v>8</v>
      </c>
      <c r="H63" s="6">
        <v>12000</v>
      </c>
      <c r="I63" s="6">
        <v>96000</v>
      </c>
      <c r="J63" t="s">
        <v>64</v>
      </c>
      <c r="K63" t="s">
        <v>48</v>
      </c>
      <c r="L63" t="s">
        <v>84</v>
      </c>
    </row>
    <row r="64" spans="1:12" x14ac:dyDescent="0.25">
      <c r="A64">
        <v>10063</v>
      </c>
      <c r="B64" s="5">
        <v>46125</v>
      </c>
      <c r="C64" t="s">
        <v>46</v>
      </c>
      <c r="D64" t="s">
        <v>47</v>
      </c>
      <c r="E64" t="s">
        <v>66</v>
      </c>
      <c r="F64" t="s">
        <v>34</v>
      </c>
      <c r="G64">
        <v>8</v>
      </c>
      <c r="H64" s="6">
        <v>120000</v>
      </c>
      <c r="I64" s="6">
        <v>960000</v>
      </c>
      <c r="J64" t="s">
        <v>41</v>
      </c>
      <c r="K64" t="s">
        <v>48</v>
      </c>
      <c r="L64" t="s">
        <v>86</v>
      </c>
    </row>
    <row r="65" spans="1:12" x14ac:dyDescent="0.25">
      <c r="A65">
        <v>10064</v>
      </c>
      <c r="B65" s="5">
        <v>46068</v>
      </c>
      <c r="C65" t="s">
        <v>72</v>
      </c>
      <c r="D65" t="s">
        <v>70</v>
      </c>
      <c r="E65" t="s">
        <v>65</v>
      </c>
      <c r="F65" t="s">
        <v>33</v>
      </c>
      <c r="G65">
        <v>4</v>
      </c>
      <c r="H65" s="6">
        <v>180000</v>
      </c>
      <c r="I65" s="6">
        <v>720000</v>
      </c>
      <c r="J65" t="s">
        <v>64</v>
      </c>
      <c r="K65" t="s">
        <v>40</v>
      </c>
      <c r="L65" t="s">
        <v>84</v>
      </c>
    </row>
    <row r="66" spans="1:12" x14ac:dyDescent="0.25">
      <c r="A66">
        <v>10065</v>
      </c>
      <c r="B66" s="5">
        <v>46057</v>
      </c>
      <c r="C66" t="s">
        <v>62</v>
      </c>
      <c r="D66" t="s">
        <v>73</v>
      </c>
      <c r="E66" t="s">
        <v>43</v>
      </c>
      <c r="F66" t="s">
        <v>34</v>
      </c>
      <c r="G66">
        <v>8</v>
      </c>
      <c r="H66" s="6">
        <v>35000</v>
      </c>
      <c r="I66" s="6">
        <v>280000</v>
      </c>
      <c r="J66" t="s">
        <v>57</v>
      </c>
      <c r="K66" t="s">
        <v>56</v>
      </c>
      <c r="L66" t="s">
        <v>86</v>
      </c>
    </row>
    <row r="67" spans="1:12" x14ac:dyDescent="0.25">
      <c r="A67">
        <v>10066</v>
      </c>
      <c r="B67" s="5">
        <v>46252</v>
      </c>
      <c r="C67" t="s">
        <v>46</v>
      </c>
      <c r="D67" t="s">
        <v>73</v>
      </c>
      <c r="E67" t="s">
        <v>68</v>
      </c>
      <c r="F67" t="s">
        <v>36</v>
      </c>
      <c r="G67">
        <v>8</v>
      </c>
      <c r="H67" s="6">
        <v>18000</v>
      </c>
      <c r="I67" s="6">
        <v>144000</v>
      </c>
      <c r="J67" t="s">
        <v>64</v>
      </c>
      <c r="K67" t="s">
        <v>40</v>
      </c>
      <c r="L67" t="s">
        <v>87</v>
      </c>
    </row>
    <row r="68" spans="1:12" x14ac:dyDescent="0.25">
      <c r="A68">
        <v>10067</v>
      </c>
      <c r="B68" s="5">
        <v>46183</v>
      </c>
      <c r="C68" t="s">
        <v>46</v>
      </c>
      <c r="D68" t="s">
        <v>55</v>
      </c>
      <c r="E68" t="s">
        <v>59</v>
      </c>
      <c r="F68" t="s">
        <v>34</v>
      </c>
      <c r="G68">
        <v>8</v>
      </c>
      <c r="H68" s="6">
        <v>70000</v>
      </c>
      <c r="I68" s="6">
        <v>560000</v>
      </c>
      <c r="J68" t="s">
        <v>64</v>
      </c>
      <c r="K68" t="s">
        <v>40</v>
      </c>
      <c r="L68" t="s">
        <v>86</v>
      </c>
    </row>
    <row r="69" spans="1:12" x14ac:dyDescent="0.25">
      <c r="A69">
        <v>10068</v>
      </c>
      <c r="B69" s="5">
        <v>46108</v>
      </c>
      <c r="C69" t="s">
        <v>54</v>
      </c>
      <c r="D69" t="s">
        <v>70</v>
      </c>
      <c r="E69" t="s">
        <v>52</v>
      </c>
      <c r="F69" t="s">
        <v>35</v>
      </c>
      <c r="G69">
        <v>5</v>
      </c>
      <c r="H69" s="6">
        <v>30000</v>
      </c>
      <c r="I69" s="6">
        <v>150000</v>
      </c>
      <c r="J69" t="s">
        <v>41</v>
      </c>
      <c r="K69" t="s">
        <v>40</v>
      </c>
      <c r="L69" t="s">
        <v>85</v>
      </c>
    </row>
    <row r="70" spans="1:12" x14ac:dyDescent="0.25">
      <c r="A70">
        <v>10069</v>
      </c>
      <c r="B70" s="5">
        <v>46203</v>
      </c>
      <c r="C70" t="s">
        <v>46</v>
      </c>
      <c r="D70" t="s">
        <v>39</v>
      </c>
      <c r="E70" t="s">
        <v>66</v>
      </c>
      <c r="F70" t="s">
        <v>34</v>
      </c>
      <c r="G70">
        <v>3</v>
      </c>
      <c r="H70" s="6">
        <v>120000</v>
      </c>
      <c r="I70" s="6">
        <v>360000</v>
      </c>
      <c r="J70" t="s">
        <v>64</v>
      </c>
      <c r="K70" t="s">
        <v>40</v>
      </c>
      <c r="L70" t="s">
        <v>86</v>
      </c>
    </row>
    <row r="71" spans="1:12" x14ac:dyDescent="0.25">
      <c r="A71">
        <v>10070</v>
      </c>
      <c r="B71" s="5">
        <v>46075</v>
      </c>
      <c r="C71" t="s">
        <v>62</v>
      </c>
      <c r="D71" t="s">
        <v>63</v>
      </c>
      <c r="E71" t="s">
        <v>68</v>
      </c>
      <c r="F71" t="s">
        <v>36</v>
      </c>
      <c r="G71">
        <v>1</v>
      </c>
      <c r="H71" s="6">
        <v>18000</v>
      </c>
      <c r="I71" s="6">
        <v>18000</v>
      </c>
      <c r="J71" t="s">
        <v>41</v>
      </c>
      <c r="K71" t="s">
        <v>48</v>
      </c>
      <c r="L71" t="s">
        <v>87</v>
      </c>
    </row>
    <row r="72" spans="1:12" x14ac:dyDescent="0.25">
      <c r="A72">
        <v>10071</v>
      </c>
      <c r="B72" s="5">
        <v>46113</v>
      </c>
      <c r="C72" t="s">
        <v>54</v>
      </c>
      <c r="D72" t="s">
        <v>63</v>
      </c>
      <c r="E72" t="s">
        <v>68</v>
      </c>
      <c r="F72" t="s">
        <v>36</v>
      </c>
      <c r="G72">
        <v>1</v>
      </c>
      <c r="H72" s="6">
        <v>18000</v>
      </c>
      <c r="I72" s="6">
        <v>18000</v>
      </c>
      <c r="J72" t="s">
        <v>64</v>
      </c>
      <c r="K72" t="s">
        <v>40</v>
      </c>
      <c r="L72" t="s">
        <v>87</v>
      </c>
    </row>
    <row r="73" spans="1:12" x14ac:dyDescent="0.25">
      <c r="A73">
        <v>10072</v>
      </c>
      <c r="B73" s="5">
        <v>46092</v>
      </c>
      <c r="C73" t="s">
        <v>62</v>
      </c>
      <c r="D73" t="s">
        <v>63</v>
      </c>
      <c r="E73" t="s">
        <v>66</v>
      </c>
      <c r="F73" t="s">
        <v>34</v>
      </c>
      <c r="G73">
        <v>4</v>
      </c>
      <c r="H73" s="6">
        <v>120000</v>
      </c>
      <c r="I73" s="6">
        <v>480000</v>
      </c>
      <c r="J73" t="s">
        <v>41</v>
      </c>
      <c r="K73" t="s">
        <v>40</v>
      </c>
      <c r="L73" t="s">
        <v>86</v>
      </c>
    </row>
    <row r="74" spans="1:12" x14ac:dyDescent="0.25">
      <c r="A74">
        <v>10073</v>
      </c>
      <c r="B74" s="5">
        <v>46258</v>
      </c>
      <c r="C74" t="s">
        <v>46</v>
      </c>
      <c r="D74" t="s">
        <v>70</v>
      </c>
      <c r="E74" t="s">
        <v>53</v>
      </c>
      <c r="F74" t="s">
        <v>36</v>
      </c>
      <c r="G74">
        <v>8</v>
      </c>
      <c r="H74" s="6">
        <v>180000</v>
      </c>
      <c r="I74" s="6">
        <v>1440000</v>
      </c>
      <c r="J74" t="s">
        <v>41</v>
      </c>
      <c r="K74" t="s">
        <v>48</v>
      </c>
      <c r="L74" t="s">
        <v>87</v>
      </c>
    </row>
    <row r="75" spans="1:12" x14ac:dyDescent="0.25">
      <c r="A75">
        <v>10074</v>
      </c>
      <c r="B75" s="5">
        <v>46057</v>
      </c>
      <c r="C75" t="s">
        <v>62</v>
      </c>
      <c r="D75" t="s">
        <v>47</v>
      </c>
      <c r="E75" t="s">
        <v>42</v>
      </c>
      <c r="F75" t="s">
        <v>33</v>
      </c>
      <c r="G75">
        <v>7</v>
      </c>
      <c r="H75" s="6">
        <v>650000</v>
      </c>
      <c r="I75" s="6">
        <v>4550000</v>
      </c>
      <c r="J75" t="s">
        <v>41</v>
      </c>
      <c r="K75" t="s">
        <v>40</v>
      </c>
      <c r="L75" t="s">
        <v>84</v>
      </c>
    </row>
    <row r="76" spans="1:12" x14ac:dyDescent="0.25">
      <c r="A76">
        <v>10075</v>
      </c>
      <c r="B76" s="5">
        <v>46106</v>
      </c>
      <c r="C76" t="s">
        <v>54</v>
      </c>
      <c r="D76" t="s">
        <v>63</v>
      </c>
      <c r="E76" t="s">
        <v>52</v>
      </c>
      <c r="F76" t="s">
        <v>35</v>
      </c>
      <c r="G76">
        <v>8</v>
      </c>
      <c r="H76" s="6">
        <v>30000</v>
      </c>
      <c r="I76" s="6">
        <v>240000</v>
      </c>
      <c r="J76" t="s">
        <v>57</v>
      </c>
      <c r="K76" t="s">
        <v>48</v>
      </c>
      <c r="L76" t="s">
        <v>85</v>
      </c>
    </row>
    <row r="77" spans="1:12" x14ac:dyDescent="0.25">
      <c r="A77">
        <v>10076</v>
      </c>
      <c r="B77" s="5">
        <v>46143</v>
      </c>
      <c r="C77" t="s">
        <v>38</v>
      </c>
      <c r="D77" t="s">
        <v>73</v>
      </c>
      <c r="E77" t="s">
        <v>61</v>
      </c>
      <c r="F77" t="s">
        <v>36</v>
      </c>
      <c r="G77">
        <v>2</v>
      </c>
      <c r="H77" s="6">
        <v>45000</v>
      </c>
      <c r="I77" s="6">
        <v>90000</v>
      </c>
      <c r="J77" t="s">
        <v>41</v>
      </c>
      <c r="K77" t="s">
        <v>56</v>
      </c>
      <c r="L77" t="s">
        <v>87</v>
      </c>
    </row>
    <row r="78" spans="1:12" x14ac:dyDescent="0.25">
      <c r="A78">
        <v>10077</v>
      </c>
      <c r="B78" s="5">
        <v>46222</v>
      </c>
      <c r="C78" t="s">
        <v>72</v>
      </c>
      <c r="D78" t="s">
        <v>39</v>
      </c>
      <c r="E78" t="s">
        <v>52</v>
      </c>
      <c r="F78" t="s">
        <v>35</v>
      </c>
      <c r="G78">
        <v>2</v>
      </c>
      <c r="H78" s="6">
        <v>30000</v>
      </c>
      <c r="I78" s="6">
        <v>60000</v>
      </c>
      <c r="J78" t="s">
        <v>41</v>
      </c>
      <c r="K78" t="s">
        <v>56</v>
      </c>
      <c r="L78" t="s">
        <v>85</v>
      </c>
    </row>
    <row r="79" spans="1:12" x14ac:dyDescent="0.25">
      <c r="A79">
        <v>10078</v>
      </c>
      <c r="B79" s="5">
        <v>46084</v>
      </c>
      <c r="C79" t="s">
        <v>46</v>
      </c>
      <c r="D79" t="s">
        <v>63</v>
      </c>
      <c r="E79" t="s">
        <v>43</v>
      </c>
      <c r="F79" t="s">
        <v>34</v>
      </c>
      <c r="G79">
        <v>3</v>
      </c>
      <c r="H79" s="6">
        <v>35000</v>
      </c>
      <c r="I79" s="6">
        <v>105000</v>
      </c>
      <c r="J79" t="s">
        <v>41</v>
      </c>
      <c r="K79" t="s">
        <v>40</v>
      </c>
      <c r="L79" t="s">
        <v>86</v>
      </c>
    </row>
    <row r="80" spans="1:12" x14ac:dyDescent="0.25">
      <c r="A80">
        <v>10079</v>
      </c>
      <c r="B80" s="5">
        <v>46219</v>
      </c>
      <c r="C80" t="s">
        <v>54</v>
      </c>
      <c r="D80" t="s">
        <v>47</v>
      </c>
      <c r="E80" t="s">
        <v>66</v>
      </c>
      <c r="F80" t="s">
        <v>34</v>
      </c>
      <c r="G80">
        <v>5</v>
      </c>
      <c r="H80" s="6">
        <v>120000</v>
      </c>
      <c r="I80" s="6">
        <v>600000</v>
      </c>
      <c r="J80" t="s">
        <v>41</v>
      </c>
      <c r="K80" t="s">
        <v>48</v>
      </c>
      <c r="L80" t="s">
        <v>86</v>
      </c>
    </row>
    <row r="81" spans="1:12" x14ac:dyDescent="0.25">
      <c r="A81">
        <v>10080</v>
      </c>
      <c r="B81" s="5">
        <v>46171</v>
      </c>
      <c r="C81" t="s">
        <v>38</v>
      </c>
      <c r="D81" t="s">
        <v>55</v>
      </c>
      <c r="E81" t="s">
        <v>59</v>
      </c>
      <c r="F81" t="s">
        <v>34</v>
      </c>
      <c r="G81">
        <v>2</v>
      </c>
      <c r="H81" s="6">
        <v>70000</v>
      </c>
      <c r="I81" s="6">
        <v>140000</v>
      </c>
      <c r="J81" t="s">
        <v>64</v>
      </c>
      <c r="K81" t="s">
        <v>40</v>
      </c>
      <c r="L81" t="s">
        <v>86</v>
      </c>
    </row>
    <row r="82" spans="1:12" x14ac:dyDescent="0.25">
      <c r="A82">
        <v>10081</v>
      </c>
      <c r="B82" s="5">
        <v>46049</v>
      </c>
      <c r="C82" t="s">
        <v>72</v>
      </c>
      <c r="D82" t="s">
        <v>55</v>
      </c>
      <c r="E82" t="s">
        <v>43</v>
      </c>
      <c r="F82" t="s">
        <v>34</v>
      </c>
      <c r="G82">
        <v>4</v>
      </c>
      <c r="H82" s="6">
        <v>35000</v>
      </c>
      <c r="I82" s="6">
        <v>140000</v>
      </c>
      <c r="J82" t="s">
        <v>41</v>
      </c>
      <c r="K82" t="s">
        <v>48</v>
      </c>
      <c r="L82" t="s">
        <v>86</v>
      </c>
    </row>
    <row r="83" spans="1:12" x14ac:dyDescent="0.25">
      <c r="A83">
        <v>10082</v>
      </c>
      <c r="B83" s="5">
        <v>46192</v>
      </c>
      <c r="C83" t="s">
        <v>54</v>
      </c>
      <c r="D83" t="s">
        <v>39</v>
      </c>
      <c r="E83" t="s">
        <v>58</v>
      </c>
      <c r="F83" t="s">
        <v>33</v>
      </c>
      <c r="G83">
        <v>7</v>
      </c>
      <c r="H83" s="6">
        <v>25000</v>
      </c>
      <c r="I83" s="6">
        <v>175000</v>
      </c>
      <c r="J83" t="s">
        <v>57</v>
      </c>
      <c r="K83" t="s">
        <v>40</v>
      </c>
      <c r="L83" t="s">
        <v>84</v>
      </c>
    </row>
    <row r="84" spans="1:12" x14ac:dyDescent="0.25">
      <c r="A84">
        <v>10083</v>
      </c>
      <c r="B84" s="5">
        <v>46133</v>
      </c>
      <c r="C84" t="s">
        <v>54</v>
      </c>
      <c r="D84" t="s">
        <v>73</v>
      </c>
      <c r="E84" t="s">
        <v>68</v>
      </c>
      <c r="F84" t="s">
        <v>36</v>
      </c>
      <c r="G84">
        <v>2</v>
      </c>
      <c r="H84" s="6">
        <v>18000</v>
      </c>
      <c r="I84" s="6">
        <v>36000</v>
      </c>
      <c r="J84" t="s">
        <v>64</v>
      </c>
      <c r="K84" t="s">
        <v>40</v>
      </c>
      <c r="L84" t="s">
        <v>87</v>
      </c>
    </row>
    <row r="85" spans="1:12" x14ac:dyDescent="0.25">
      <c r="A85">
        <v>10084</v>
      </c>
      <c r="B85" s="5">
        <v>46180</v>
      </c>
      <c r="C85" t="s">
        <v>69</v>
      </c>
      <c r="D85" t="s">
        <v>63</v>
      </c>
      <c r="E85" t="s">
        <v>53</v>
      </c>
      <c r="F85" t="s">
        <v>36</v>
      </c>
      <c r="G85">
        <v>5</v>
      </c>
      <c r="H85" s="6">
        <v>180000</v>
      </c>
      <c r="I85" s="6">
        <v>900000</v>
      </c>
      <c r="J85" t="s">
        <v>64</v>
      </c>
      <c r="K85" t="s">
        <v>40</v>
      </c>
      <c r="L85" t="s">
        <v>87</v>
      </c>
    </row>
    <row r="86" spans="1:12" x14ac:dyDescent="0.25">
      <c r="A86">
        <v>10085</v>
      </c>
      <c r="B86" s="5">
        <v>46235</v>
      </c>
      <c r="C86" t="s">
        <v>38</v>
      </c>
      <c r="D86" t="s">
        <v>55</v>
      </c>
      <c r="E86" t="s">
        <v>60</v>
      </c>
      <c r="F86" t="s">
        <v>35</v>
      </c>
      <c r="G86">
        <v>4</v>
      </c>
      <c r="H86" s="6">
        <v>65000</v>
      </c>
      <c r="I86" s="6">
        <v>260000</v>
      </c>
      <c r="J86" t="s">
        <v>64</v>
      </c>
      <c r="K86" t="s">
        <v>40</v>
      </c>
      <c r="L86" t="s">
        <v>85</v>
      </c>
    </row>
    <row r="87" spans="1:12" x14ac:dyDescent="0.25">
      <c r="A87">
        <v>10086</v>
      </c>
      <c r="B87" s="5">
        <v>46030</v>
      </c>
      <c r="C87" t="s">
        <v>62</v>
      </c>
      <c r="D87" t="s">
        <v>55</v>
      </c>
      <c r="E87" t="s">
        <v>68</v>
      </c>
      <c r="F87" t="s">
        <v>36</v>
      </c>
      <c r="G87">
        <v>6</v>
      </c>
      <c r="H87" s="6">
        <v>18000</v>
      </c>
      <c r="I87" s="6">
        <v>108000</v>
      </c>
      <c r="J87" t="s">
        <v>49</v>
      </c>
      <c r="K87" t="s">
        <v>40</v>
      </c>
      <c r="L87" t="s">
        <v>87</v>
      </c>
    </row>
    <row r="88" spans="1:12" x14ac:dyDescent="0.25">
      <c r="A88">
        <v>10087</v>
      </c>
      <c r="B88" s="5">
        <v>46094</v>
      </c>
      <c r="C88" t="s">
        <v>69</v>
      </c>
      <c r="D88" t="s">
        <v>73</v>
      </c>
      <c r="E88" t="s">
        <v>60</v>
      </c>
      <c r="F88" t="s">
        <v>35</v>
      </c>
      <c r="G88">
        <v>6</v>
      </c>
      <c r="H88" s="6">
        <v>65000</v>
      </c>
      <c r="I88" s="6">
        <v>390000</v>
      </c>
      <c r="J88" t="s">
        <v>57</v>
      </c>
      <c r="K88" t="s">
        <v>40</v>
      </c>
      <c r="L88" t="s">
        <v>85</v>
      </c>
    </row>
    <row r="89" spans="1:12" x14ac:dyDescent="0.25">
      <c r="A89">
        <v>10088</v>
      </c>
      <c r="B89" s="5">
        <v>46207</v>
      </c>
      <c r="C89" t="s">
        <v>62</v>
      </c>
      <c r="D89" t="s">
        <v>63</v>
      </c>
      <c r="E89" t="s">
        <v>43</v>
      </c>
      <c r="F89" t="s">
        <v>34</v>
      </c>
      <c r="G89">
        <v>4</v>
      </c>
      <c r="H89" s="6">
        <v>35000</v>
      </c>
      <c r="I89" s="6">
        <v>140000</v>
      </c>
      <c r="J89" t="s">
        <v>49</v>
      </c>
      <c r="K89" t="s">
        <v>40</v>
      </c>
      <c r="L89" t="s">
        <v>86</v>
      </c>
    </row>
    <row r="90" spans="1:12" x14ac:dyDescent="0.25">
      <c r="A90">
        <v>10089</v>
      </c>
      <c r="B90" s="5">
        <v>46046</v>
      </c>
      <c r="C90" t="s">
        <v>54</v>
      </c>
      <c r="D90" t="s">
        <v>47</v>
      </c>
      <c r="E90" t="s">
        <v>68</v>
      </c>
      <c r="F90" t="s">
        <v>36</v>
      </c>
      <c r="G90">
        <v>1</v>
      </c>
      <c r="H90" s="6">
        <v>18000</v>
      </c>
      <c r="I90" s="6">
        <v>18000</v>
      </c>
      <c r="J90" t="s">
        <v>64</v>
      </c>
      <c r="K90" t="s">
        <v>40</v>
      </c>
      <c r="L90" t="s">
        <v>87</v>
      </c>
    </row>
    <row r="91" spans="1:12" x14ac:dyDescent="0.25">
      <c r="A91">
        <v>10090</v>
      </c>
      <c r="B91" s="5">
        <v>46164</v>
      </c>
      <c r="C91" t="s">
        <v>69</v>
      </c>
      <c r="D91" t="s">
        <v>55</v>
      </c>
      <c r="E91" t="s">
        <v>60</v>
      </c>
      <c r="F91" t="s">
        <v>35</v>
      </c>
      <c r="G91">
        <v>8</v>
      </c>
      <c r="H91" s="6">
        <v>65000</v>
      </c>
      <c r="I91" s="6">
        <v>520000</v>
      </c>
      <c r="J91" t="s">
        <v>64</v>
      </c>
      <c r="K91" t="s">
        <v>56</v>
      </c>
      <c r="L91" t="s">
        <v>85</v>
      </c>
    </row>
    <row r="92" spans="1:12" x14ac:dyDescent="0.25">
      <c r="A92">
        <v>10091</v>
      </c>
      <c r="B92" s="5">
        <v>46092</v>
      </c>
      <c r="C92" t="s">
        <v>54</v>
      </c>
      <c r="D92" t="s">
        <v>55</v>
      </c>
      <c r="E92" t="s">
        <v>60</v>
      </c>
      <c r="F92" t="s">
        <v>35</v>
      </c>
      <c r="G92">
        <v>8</v>
      </c>
      <c r="H92" s="6">
        <v>65000</v>
      </c>
      <c r="I92" s="6">
        <v>520000</v>
      </c>
      <c r="J92" t="s">
        <v>49</v>
      </c>
      <c r="K92" t="s">
        <v>40</v>
      </c>
      <c r="L92" t="s">
        <v>85</v>
      </c>
    </row>
    <row r="93" spans="1:12" x14ac:dyDescent="0.25">
      <c r="A93">
        <v>10092</v>
      </c>
      <c r="B93" s="5">
        <v>46213</v>
      </c>
      <c r="C93" t="s">
        <v>69</v>
      </c>
      <c r="D93" t="s">
        <v>73</v>
      </c>
      <c r="E93" t="s">
        <v>59</v>
      </c>
      <c r="F93" t="s">
        <v>34</v>
      </c>
      <c r="G93">
        <v>2</v>
      </c>
      <c r="H93" s="6">
        <v>70000</v>
      </c>
      <c r="I93" s="6">
        <v>140000</v>
      </c>
      <c r="J93" t="s">
        <v>49</v>
      </c>
      <c r="K93" t="s">
        <v>40</v>
      </c>
      <c r="L93" t="s">
        <v>86</v>
      </c>
    </row>
    <row r="94" spans="1:12" x14ac:dyDescent="0.25">
      <c r="A94">
        <v>10093</v>
      </c>
      <c r="B94" s="5">
        <v>46048</v>
      </c>
      <c r="C94" t="s">
        <v>46</v>
      </c>
      <c r="D94" t="s">
        <v>55</v>
      </c>
      <c r="E94" t="s">
        <v>61</v>
      </c>
      <c r="F94" t="s">
        <v>36</v>
      </c>
      <c r="G94">
        <v>5</v>
      </c>
      <c r="H94" s="6">
        <v>45000</v>
      </c>
      <c r="I94" s="6">
        <v>225000</v>
      </c>
      <c r="J94" t="s">
        <v>49</v>
      </c>
      <c r="K94" t="s">
        <v>40</v>
      </c>
      <c r="L94" t="s">
        <v>87</v>
      </c>
    </row>
    <row r="95" spans="1:12" x14ac:dyDescent="0.25">
      <c r="A95">
        <v>10094</v>
      </c>
      <c r="B95" s="5">
        <v>46093</v>
      </c>
      <c r="C95" t="s">
        <v>38</v>
      </c>
      <c r="D95" t="s">
        <v>39</v>
      </c>
      <c r="E95" t="s">
        <v>44</v>
      </c>
      <c r="F95" t="s">
        <v>35</v>
      </c>
      <c r="G95">
        <v>3</v>
      </c>
      <c r="H95" s="6">
        <v>90000</v>
      </c>
      <c r="I95" s="6">
        <v>270000</v>
      </c>
      <c r="J95" t="s">
        <v>57</v>
      </c>
      <c r="K95" t="s">
        <v>40</v>
      </c>
      <c r="L95" t="s">
        <v>85</v>
      </c>
    </row>
    <row r="96" spans="1:12" x14ac:dyDescent="0.25">
      <c r="A96">
        <v>10095</v>
      </c>
      <c r="B96" s="5">
        <v>46246</v>
      </c>
      <c r="C96" t="s">
        <v>38</v>
      </c>
      <c r="D96" t="s">
        <v>70</v>
      </c>
      <c r="E96" t="s">
        <v>66</v>
      </c>
      <c r="F96" t="s">
        <v>34</v>
      </c>
      <c r="G96">
        <v>2</v>
      </c>
      <c r="H96" s="6">
        <v>120000</v>
      </c>
      <c r="I96" s="6">
        <v>240000</v>
      </c>
      <c r="J96" t="s">
        <v>57</v>
      </c>
      <c r="K96" t="s">
        <v>40</v>
      </c>
      <c r="L96" t="s">
        <v>86</v>
      </c>
    </row>
    <row r="97" spans="1:12" x14ac:dyDescent="0.25">
      <c r="A97">
        <v>10096</v>
      </c>
      <c r="B97" s="5">
        <v>46036</v>
      </c>
      <c r="C97" t="s">
        <v>54</v>
      </c>
      <c r="D97" t="s">
        <v>63</v>
      </c>
      <c r="E97" t="s">
        <v>61</v>
      </c>
      <c r="F97" t="s">
        <v>36</v>
      </c>
      <c r="G97">
        <v>3</v>
      </c>
      <c r="H97" s="6">
        <v>45000</v>
      </c>
      <c r="I97" s="6">
        <v>135000</v>
      </c>
      <c r="J97" t="s">
        <v>41</v>
      </c>
      <c r="K97" t="s">
        <v>48</v>
      </c>
      <c r="L97" t="s">
        <v>87</v>
      </c>
    </row>
    <row r="98" spans="1:12" x14ac:dyDescent="0.25">
      <c r="A98">
        <v>10097</v>
      </c>
      <c r="B98" s="5">
        <v>46170</v>
      </c>
      <c r="C98" t="s">
        <v>72</v>
      </c>
      <c r="D98" t="s">
        <v>73</v>
      </c>
      <c r="E98" t="s">
        <v>68</v>
      </c>
      <c r="F98" t="s">
        <v>36</v>
      </c>
      <c r="G98">
        <v>2</v>
      </c>
      <c r="H98" s="6">
        <v>18000</v>
      </c>
      <c r="I98" s="6">
        <v>36000</v>
      </c>
      <c r="J98" t="s">
        <v>41</v>
      </c>
      <c r="K98" t="s">
        <v>40</v>
      </c>
      <c r="L98" t="s">
        <v>87</v>
      </c>
    </row>
    <row r="99" spans="1:12" x14ac:dyDescent="0.25">
      <c r="A99">
        <v>10098</v>
      </c>
      <c r="B99" s="5">
        <v>46053</v>
      </c>
      <c r="C99" t="s">
        <v>69</v>
      </c>
      <c r="D99" t="s">
        <v>63</v>
      </c>
      <c r="E99" t="s">
        <v>44</v>
      </c>
      <c r="F99" t="s">
        <v>35</v>
      </c>
      <c r="G99">
        <v>4</v>
      </c>
      <c r="H99" s="6">
        <v>90000</v>
      </c>
      <c r="I99" s="6">
        <v>360000</v>
      </c>
      <c r="J99" t="s">
        <v>49</v>
      </c>
      <c r="K99" t="s">
        <v>48</v>
      </c>
      <c r="L99" t="s">
        <v>85</v>
      </c>
    </row>
    <row r="100" spans="1:12" x14ac:dyDescent="0.25">
      <c r="A100">
        <v>10099</v>
      </c>
      <c r="B100" s="5">
        <v>46099</v>
      </c>
      <c r="C100" t="s">
        <v>69</v>
      </c>
      <c r="D100" t="s">
        <v>63</v>
      </c>
      <c r="E100" t="s">
        <v>68</v>
      </c>
      <c r="F100" t="s">
        <v>36</v>
      </c>
      <c r="G100">
        <v>8</v>
      </c>
      <c r="H100" s="6">
        <v>18000</v>
      </c>
      <c r="I100" s="6">
        <v>144000</v>
      </c>
      <c r="J100" t="s">
        <v>57</v>
      </c>
      <c r="K100" t="s">
        <v>40</v>
      </c>
      <c r="L100" t="s">
        <v>87</v>
      </c>
    </row>
    <row r="101" spans="1:12" x14ac:dyDescent="0.25">
      <c r="A101">
        <v>10100</v>
      </c>
      <c r="B101" s="5">
        <v>46218</v>
      </c>
      <c r="C101" t="s">
        <v>46</v>
      </c>
      <c r="D101" t="s">
        <v>73</v>
      </c>
      <c r="E101" t="s">
        <v>71</v>
      </c>
      <c r="F101" t="s">
        <v>33</v>
      </c>
      <c r="G101">
        <v>2</v>
      </c>
      <c r="H101" s="6">
        <v>45000</v>
      </c>
      <c r="I101" s="6">
        <v>90000</v>
      </c>
      <c r="J101" t="s">
        <v>49</v>
      </c>
      <c r="K101" t="s">
        <v>40</v>
      </c>
      <c r="L101" t="s">
        <v>84</v>
      </c>
    </row>
    <row r="102" spans="1:12" x14ac:dyDescent="0.25">
      <c r="A102">
        <v>10101</v>
      </c>
      <c r="B102" s="5">
        <v>46067</v>
      </c>
      <c r="C102" t="s">
        <v>69</v>
      </c>
      <c r="D102" t="s">
        <v>39</v>
      </c>
      <c r="E102" t="s">
        <v>50</v>
      </c>
      <c r="F102" t="s">
        <v>33</v>
      </c>
      <c r="G102">
        <v>4</v>
      </c>
      <c r="H102" s="6">
        <v>12000</v>
      </c>
      <c r="I102" s="6">
        <v>48000</v>
      </c>
      <c r="J102" t="s">
        <v>49</v>
      </c>
      <c r="K102" t="s">
        <v>40</v>
      </c>
      <c r="L102" t="s">
        <v>84</v>
      </c>
    </row>
    <row r="103" spans="1:12" x14ac:dyDescent="0.25">
      <c r="A103">
        <v>10102</v>
      </c>
      <c r="B103" s="5">
        <v>46031</v>
      </c>
      <c r="C103" t="s">
        <v>46</v>
      </c>
      <c r="D103" t="s">
        <v>55</v>
      </c>
      <c r="E103" t="s">
        <v>68</v>
      </c>
      <c r="F103" t="s">
        <v>36</v>
      </c>
      <c r="G103">
        <v>5</v>
      </c>
      <c r="H103" s="6">
        <v>18000</v>
      </c>
      <c r="I103" s="6">
        <v>90000</v>
      </c>
      <c r="J103" t="s">
        <v>57</v>
      </c>
      <c r="K103" t="s">
        <v>40</v>
      </c>
      <c r="L103" t="s">
        <v>87</v>
      </c>
    </row>
    <row r="104" spans="1:12" x14ac:dyDescent="0.25">
      <c r="A104">
        <v>10103</v>
      </c>
      <c r="B104" s="5">
        <v>46259</v>
      </c>
      <c r="C104" t="s">
        <v>54</v>
      </c>
      <c r="D104" t="s">
        <v>73</v>
      </c>
      <c r="E104" t="s">
        <v>45</v>
      </c>
      <c r="F104" t="s">
        <v>36</v>
      </c>
      <c r="G104">
        <v>4</v>
      </c>
      <c r="H104" s="6">
        <v>140000</v>
      </c>
      <c r="I104" s="6">
        <v>560000</v>
      </c>
      <c r="J104" t="s">
        <v>49</v>
      </c>
      <c r="K104" t="s">
        <v>40</v>
      </c>
      <c r="L104" t="s">
        <v>87</v>
      </c>
    </row>
    <row r="105" spans="1:12" x14ac:dyDescent="0.25">
      <c r="A105">
        <v>10104</v>
      </c>
      <c r="B105" s="5">
        <v>46234</v>
      </c>
      <c r="C105" t="s">
        <v>46</v>
      </c>
      <c r="D105" t="s">
        <v>39</v>
      </c>
      <c r="E105" t="s">
        <v>51</v>
      </c>
      <c r="F105" t="s">
        <v>34</v>
      </c>
      <c r="G105">
        <v>5</v>
      </c>
      <c r="H105" s="6">
        <v>55000</v>
      </c>
      <c r="I105" s="6">
        <v>275000</v>
      </c>
      <c r="J105" t="s">
        <v>41</v>
      </c>
      <c r="K105" t="s">
        <v>40</v>
      </c>
      <c r="L105" t="s">
        <v>86</v>
      </c>
    </row>
    <row r="106" spans="1:12" x14ac:dyDescent="0.25">
      <c r="A106">
        <v>10105</v>
      </c>
      <c r="B106" s="5">
        <v>46054</v>
      </c>
      <c r="C106" t="s">
        <v>62</v>
      </c>
      <c r="D106" t="s">
        <v>73</v>
      </c>
      <c r="E106" t="s">
        <v>60</v>
      </c>
      <c r="F106" t="s">
        <v>35</v>
      </c>
      <c r="G106">
        <v>8</v>
      </c>
      <c r="H106" s="6">
        <v>65000</v>
      </c>
      <c r="I106" s="6">
        <v>520000</v>
      </c>
      <c r="J106" t="s">
        <v>57</v>
      </c>
      <c r="K106" t="s">
        <v>40</v>
      </c>
      <c r="L106" t="s">
        <v>85</v>
      </c>
    </row>
    <row r="107" spans="1:12" x14ac:dyDescent="0.25">
      <c r="A107">
        <v>10106</v>
      </c>
      <c r="B107" s="5">
        <v>46043</v>
      </c>
      <c r="C107" t="s">
        <v>69</v>
      </c>
      <c r="D107" t="s">
        <v>39</v>
      </c>
      <c r="E107" t="s">
        <v>67</v>
      </c>
      <c r="F107" t="s">
        <v>35</v>
      </c>
      <c r="G107">
        <v>8</v>
      </c>
      <c r="H107" s="6">
        <v>50000</v>
      </c>
      <c r="I107" s="6">
        <v>400000</v>
      </c>
      <c r="J107" t="s">
        <v>64</v>
      </c>
      <c r="K107" t="s">
        <v>40</v>
      </c>
      <c r="L107" t="s">
        <v>85</v>
      </c>
    </row>
    <row r="108" spans="1:12" x14ac:dyDescent="0.25">
      <c r="A108">
        <v>10107</v>
      </c>
      <c r="B108" s="5">
        <v>46081</v>
      </c>
      <c r="C108" t="s">
        <v>72</v>
      </c>
      <c r="D108" t="s">
        <v>70</v>
      </c>
      <c r="E108" t="s">
        <v>44</v>
      </c>
      <c r="F108" t="s">
        <v>35</v>
      </c>
      <c r="G108">
        <v>2</v>
      </c>
      <c r="H108" s="6">
        <v>90000</v>
      </c>
      <c r="I108" s="6">
        <v>180000</v>
      </c>
      <c r="J108" t="s">
        <v>41</v>
      </c>
      <c r="K108" t="s">
        <v>56</v>
      </c>
      <c r="L108" t="s">
        <v>85</v>
      </c>
    </row>
    <row r="109" spans="1:12" x14ac:dyDescent="0.25">
      <c r="A109">
        <v>10108</v>
      </c>
      <c r="B109" s="5">
        <v>46143</v>
      </c>
      <c r="C109" t="s">
        <v>69</v>
      </c>
      <c r="D109" t="s">
        <v>73</v>
      </c>
      <c r="E109" t="s">
        <v>44</v>
      </c>
      <c r="F109" t="s">
        <v>35</v>
      </c>
      <c r="G109">
        <v>3</v>
      </c>
      <c r="H109" s="6">
        <v>90000</v>
      </c>
      <c r="I109" s="6">
        <v>270000</v>
      </c>
      <c r="J109" t="s">
        <v>64</v>
      </c>
      <c r="K109" t="s">
        <v>48</v>
      </c>
      <c r="L109" t="s">
        <v>85</v>
      </c>
    </row>
    <row r="110" spans="1:12" x14ac:dyDescent="0.25">
      <c r="A110">
        <v>10109</v>
      </c>
      <c r="B110" s="5">
        <v>46046</v>
      </c>
      <c r="C110" t="s">
        <v>62</v>
      </c>
      <c r="D110" t="s">
        <v>55</v>
      </c>
      <c r="E110" t="s">
        <v>66</v>
      </c>
      <c r="F110" t="s">
        <v>34</v>
      </c>
      <c r="G110">
        <v>8</v>
      </c>
      <c r="H110" s="6">
        <v>120000</v>
      </c>
      <c r="I110" s="6">
        <v>960000</v>
      </c>
      <c r="J110" t="s">
        <v>64</v>
      </c>
      <c r="K110" t="s">
        <v>40</v>
      </c>
      <c r="L110" t="s">
        <v>86</v>
      </c>
    </row>
    <row r="111" spans="1:12" x14ac:dyDescent="0.25">
      <c r="A111">
        <v>10110</v>
      </c>
      <c r="B111" s="5">
        <v>46128</v>
      </c>
      <c r="C111" t="s">
        <v>72</v>
      </c>
      <c r="D111" t="s">
        <v>63</v>
      </c>
      <c r="E111" t="s">
        <v>50</v>
      </c>
      <c r="F111" t="s">
        <v>33</v>
      </c>
      <c r="G111">
        <v>6</v>
      </c>
      <c r="H111" s="6">
        <v>12000</v>
      </c>
      <c r="I111" s="6">
        <v>72000</v>
      </c>
      <c r="J111" t="s">
        <v>57</v>
      </c>
      <c r="K111" t="s">
        <v>40</v>
      </c>
      <c r="L111" t="s">
        <v>84</v>
      </c>
    </row>
    <row r="112" spans="1:12" x14ac:dyDescent="0.25">
      <c r="A112">
        <v>10111</v>
      </c>
      <c r="B112" s="5">
        <v>46045</v>
      </c>
      <c r="C112" t="s">
        <v>54</v>
      </c>
      <c r="D112" t="s">
        <v>55</v>
      </c>
      <c r="E112" t="s">
        <v>45</v>
      </c>
      <c r="F112" t="s">
        <v>36</v>
      </c>
      <c r="G112">
        <v>8</v>
      </c>
      <c r="H112" s="6">
        <v>140000</v>
      </c>
      <c r="I112" s="6">
        <v>1120000</v>
      </c>
      <c r="J112" t="s">
        <v>57</v>
      </c>
      <c r="K112" t="s">
        <v>40</v>
      </c>
      <c r="L112" t="s">
        <v>87</v>
      </c>
    </row>
    <row r="113" spans="1:12" x14ac:dyDescent="0.25">
      <c r="A113">
        <v>10112</v>
      </c>
      <c r="B113" s="5">
        <v>46128</v>
      </c>
      <c r="C113" t="s">
        <v>38</v>
      </c>
      <c r="D113" t="s">
        <v>47</v>
      </c>
      <c r="E113" t="s">
        <v>45</v>
      </c>
      <c r="F113" t="s">
        <v>36</v>
      </c>
      <c r="G113">
        <v>8</v>
      </c>
      <c r="H113" s="6">
        <v>140000</v>
      </c>
      <c r="I113" s="6">
        <v>1120000</v>
      </c>
      <c r="J113" t="s">
        <v>57</v>
      </c>
      <c r="K113" t="s">
        <v>40</v>
      </c>
      <c r="L113" t="s">
        <v>87</v>
      </c>
    </row>
    <row r="114" spans="1:12" x14ac:dyDescent="0.25">
      <c r="A114">
        <v>10113</v>
      </c>
      <c r="B114" s="5">
        <v>46075</v>
      </c>
      <c r="C114" t="s">
        <v>54</v>
      </c>
      <c r="D114" t="s">
        <v>70</v>
      </c>
      <c r="E114" t="s">
        <v>68</v>
      </c>
      <c r="F114" t="s">
        <v>36</v>
      </c>
      <c r="G114">
        <v>1</v>
      </c>
      <c r="H114" s="6">
        <v>18000</v>
      </c>
      <c r="I114" s="6">
        <v>18000</v>
      </c>
      <c r="J114" t="s">
        <v>49</v>
      </c>
      <c r="K114" t="s">
        <v>48</v>
      </c>
      <c r="L114" t="s">
        <v>87</v>
      </c>
    </row>
    <row r="115" spans="1:12" x14ac:dyDescent="0.25">
      <c r="A115">
        <v>10114</v>
      </c>
      <c r="B115" s="5">
        <v>46030</v>
      </c>
      <c r="C115" t="s">
        <v>72</v>
      </c>
      <c r="D115" t="s">
        <v>70</v>
      </c>
      <c r="E115" t="s">
        <v>68</v>
      </c>
      <c r="F115" t="s">
        <v>36</v>
      </c>
      <c r="G115">
        <v>2</v>
      </c>
      <c r="H115" s="6">
        <v>18000</v>
      </c>
      <c r="I115" s="6">
        <v>36000</v>
      </c>
      <c r="J115" t="s">
        <v>49</v>
      </c>
      <c r="K115" t="s">
        <v>40</v>
      </c>
      <c r="L115" t="s">
        <v>87</v>
      </c>
    </row>
    <row r="116" spans="1:12" x14ac:dyDescent="0.25">
      <c r="A116">
        <v>10115</v>
      </c>
      <c r="B116" s="5">
        <v>46046</v>
      </c>
      <c r="C116" t="s">
        <v>46</v>
      </c>
      <c r="D116" t="s">
        <v>39</v>
      </c>
      <c r="E116" t="s">
        <v>44</v>
      </c>
      <c r="F116" t="s">
        <v>35</v>
      </c>
      <c r="G116">
        <v>7</v>
      </c>
      <c r="H116" s="6">
        <v>90000</v>
      </c>
      <c r="I116" s="6">
        <v>630000</v>
      </c>
      <c r="J116" t="s">
        <v>64</v>
      </c>
      <c r="K116" t="s">
        <v>56</v>
      </c>
      <c r="L116" t="s">
        <v>85</v>
      </c>
    </row>
    <row r="117" spans="1:12" x14ac:dyDescent="0.25">
      <c r="A117">
        <v>10116</v>
      </c>
      <c r="B117" s="5">
        <v>46153</v>
      </c>
      <c r="C117" t="s">
        <v>72</v>
      </c>
      <c r="D117" t="s">
        <v>55</v>
      </c>
      <c r="E117" t="s">
        <v>66</v>
      </c>
      <c r="F117" t="s">
        <v>34</v>
      </c>
      <c r="G117">
        <v>5</v>
      </c>
      <c r="H117" s="6">
        <v>120000</v>
      </c>
      <c r="I117" s="6">
        <v>600000</v>
      </c>
      <c r="J117" t="s">
        <v>64</v>
      </c>
      <c r="K117" t="s">
        <v>48</v>
      </c>
      <c r="L117" t="s">
        <v>86</v>
      </c>
    </row>
    <row r="118" spans="1:12" x14ac:dyDescent="0.25">
      <c r="A118">
        <v>10117</v>
      </c>
      <c r="B118" s="5">
        <v>46164</v>
      </c>
      <c r="C118" t="s">
        <v>46</v>
      </c>
      <c r="D118" t="s">
        <v>63</v>
      </c>
      <c r="E118" t="s">
        <v>53</v>
      </c>
      <c r="F118" t="s">
        <v>36</v>
      </c>
      <c r="G118">
        <v>8</v>
      </c>
      <c r="H118" s="6">
        <v>180000</v>
      </c>
      <c r="I118" s="6">
        <v>1440000</v>
      </c>
      <c r="J118" t="s">
        <v>49</v>
      </c>
      <c r="K118" t="s">
        <v>48</v>
      </c>
      <c r="L118" t="s">
        <v>87</v>
      </c>
    </row>
    <row r="119" spans="1:12" x14ac:dyDescent="0.25">
      <c r="A119">
        <v>10118</v>
      </c>
      <c r="B119" s="5">
        <v>46220</v>
      </c>
      <c r="C119" t="s">
        <v>62</v>
      </c>
      <c r="D119" t="s">
        <v>55</v>
      </c>
      <c r="E119" t="s">
        <v>43</v>
      </c>
      <c r="F119" t="s">
        <v>34</v>
      </c>
      <c r="G119">
        <v>5</v>
      </c>
      <c r="H119" s="6">
        <v>35000</v>
      </c>
      <c r="I119" s="6">
        <v>175000</v>
      </c>
      <c r="J119" t="s">
        <v>57</v>
      </c>
      <c r="K119" t="s">
        <v>48</v>
      </c>
      <c r="L119" t="s">
        <v>86</v>
      </c>
    </row>
    <row r="120" spans="1:12" x14ac:dyDescent="0.25">
      <c r="A120">
        <v>10119</v>
      </c>
      <c r="B120" s="5">
        <v>46244</v>
      </c>
      <c r="C120" t="s">
        <v>46</v>
      </c>
      <c r="D120" t="s">
        <v>63</v>
      </c>
      <c r="E120" t="s">
        <v>60</v>
      </c>
      <c r="F120" t="s">
        <v>35</v>
      </c>
      <c r="G120">
        <v>8</v>
      </c>
      <c r="H120" s="6">
        <v>65000</v>
      </c>
      <c r="I120" s="6">
        <v>520000</v>
      </c>
      <c r="J120" t="s">
        <v>64</v>
      </c>
      <c r="K120" t="s">
        <v>40</v>
      </c>
      <c r="L120" t="s">
        <v>85</v>
      </c>
    </row>
    <row r="121" spans="1:12" x14ac:dyDescent="0.25">
      <c r="A121">
        <v>10120</v>
      </c>
      <c r="B121" s="5">
        <v>46245</v>
      </c>
      <c r="C121" t="s">
        <v>46</v>
      </c>
      <c r="D121" t="s">
        <v>73</v>
      </c>
      <c r="E121" t="s">
        <v>68</v>
      </c>
      <c r="F121" t="s">
        <v>36</v>
      </c>
      <c r="G121">
        <v>6</v>
      </c>
      <c r="H121" s="6">
        <v>18000</v>
      </c>
      <c r="I121" s="6">
        <v>108000</v>
      </c>
      <c r="J121" t="s">
        <v>49</v>
      </c>
      <c r="K121" t="s">
        <v>40</v>
      </c>
      <c r="L121" t="s">
        <v>87</v>
      </c>
    </row>
    <row r="122" spans="1:12" x14ac:dyDescent="0.25">
      <c r="A122">
        <v>10121</v>
      </c>
      <c r="B122" s="5">
        <v>46104</v>
      </c>
      <c r="C122" t="s">
        <v>72</v>
      </c>
      <c r="D122" t="s">
        <v>63</v>
      </c>
      <c r="E122" t="s">
        <v>66</v>
      </c>
      <c r="F122" t="s">
        <v>34</v>
      </c>
      <c r="G122">
        <v>1</v>
      </c>
      <c r="H122" s="6">
        <v>120000</v>
      </c>
      <c r="I122" s="6">
        <v>120000</v>
      </c>
      <c r="J122" t="s">
        <v>64</v>
      </c>
      <c r="K122" t="s">
        <v>40</v>
      </c>
      <c r="L122" t="s">
        <v>86</v>
      </c>
    </row>
    <row r="123" spans="1:12" x14ac:dyDescent="0.25">
      <c r="A123">
        <v>10122</v>
      </c>
      <c r="B123" s="5">
        <v>46055</v>
      </c>
      <c r="C123" t="s">
        <v>69</v>
      </c>
      <c r="D123" t="s">
        <v>70</v>
      </c>
      <c r="E123" t="s">
        <v>66</v>
      </c>
      <c r="F123" t="s">
        <v>34</v>
      </c>
      <c r="G123">
        <v>1</v>
      </c>
      <c r="H123" s="6">
        <v>120000</v>
      </c>
      <c r="I123" s="6">
        <v>120000</v>
      </c>
      <c r="J123" t="s">
        <v>57</v>
      </c>
      <c r="K123" t="s">
        <v>48</v>
      </c>
      <c r="L123" t="s">
        <v>86</v>
      </c>
    </row>
    <row r="124" spans="1:12" x14ac:dyDescent="0.25">
      <c r="A124">
        <v>10123</v>
      </c>
      <c r="B124" s="5">
        <v>46026</v>
      </c>
      <c r="C124" t="s">
        <v>72</v>
      </c>
      <c r="D124" t="s">
        <v>47</v>
      </c>
      <c r="E124" t="s">
        <v>45</v>
      </c>
      <c r="F124" t="s">
        <v>36</v>
      </c>
      <c r="G124">
        <v>8</v>
      </c>
      <c r="H124" s="6">
        <v>140000</v>
      </c>
      <c r="I124" s="6">
        <v>1120000</v>
      </c>
      <c r="J124" t="s">
        <v>64</v>
      </c>
      <c r="K124" t="s">
        <v>48</v>
      </c>
      <c r="L124" t="s">
        <v>87</v>
      </c>
    </row>
    <row r="125" spans="1:12" x14ac:dyDescent="0.25">
      <c r="A125">
        <v>10124</v>
      </c>
      <c r="B125" s="5">
        <v>46223</v>
      </c>
      <c r="C125" t="s">
        <v>54</v>
      </c>
      <c r="D125" t="s">
        <v>55</v>
      </c>
      <c r="E125" t="s">
        <v>43</v>
      </c>
      <c r="F125" t="s">
        <v>34</v>
      </c>
      <c r="G125">
        <v>8</v>
      </c>
      <c r="H125" s="6">
        <v>35000</v>
      </c>
      <c r="I125" s="6">
        <v>280000</v>
      </c>
      <c r="J125" t="s">
        <v>64</v>
      </c>
      <c r="K125" t="s">
        <v>40</v>
      </c>
      <c r="L125" t="s">
        <v>86</v>
      </c>
    </row>
    <row r="126" spans="1:12" x14ac:dyDescent="0.25">
      <c r="A126">
        <v>10125</v>
      </c>
      <c r="B126" s="5">
        <v>46183</v>
      </c>
      <c r="C126" t="s">
        <v>72</v>
      </c>
      <c r="D126" t="s">
        <v>63</v>
      </c>
      <c r="E126" t="s">
        <v>67</v>
      </c>
      <c r="F126" t="s">
        <v>35</v>
      </c>
      <c r="G126">
        <v>6</v>
      </c>
      <c r="H126" s="6">
        <v>50000</v>
      </c>
      <c r="I126" s="6">
        <v>300000</v>
      </c>
      <c r="J126" t="s">
        <v>41</v>
      </c>
      <c r="K126" t="s">
        <v>40</v>
      </c>
      <c r="L126" t="s">
        <v>85</v>
      </c>
    </row>
    <row r="127" spans="1:12" x14ac:dyDescent="0.25">
      <c r="A127">
        <v>10126</v>
      </c>
      <c r="B127" s="5">
        <v>46214</v>
      </c>
      <c r="C127" t="s">
        <v>38</v>
      </c>
      <c r="D127" t="s">
        <v>63</v>
      </c>
      <c r="E127" t="s">
        <v>59</v>
      </c>
      <c r="F127" t="s">
        <v>34</v>
      </c>
      <c r="G127">
        <v>4</v>
      </c>
      <c r="H127" s="6">
        <v>70000</v>
      </c>
      <c r="I127" s="6">
        <v>280000</v>
      </c>
      <c r="J127" t="s">
        <v>41</v>
      </c>
      <c r="K127" t="s">
        <v>48</v>
      </c>
      <c r="L127" t="s">
        <v>86</v>
      </c>
    </row>
    <row r="128" spans="1:12" x14ac:dyDescent="0.25">
      <c r="A128">
        <v>10127</v>
      </c>
      <c r="B128" s="5">
        <v>46200</v>
      </c>
      <c r="C128" t="s">
        <v>54</v>
      </c>
      <c r="D128" t="s">
        <v>39</v>
      </c>
      <c r="E128" t="s">
        <v>65</v>
      </c>
      <c r="F128" t="s">
        <v>33</v>
      </c>
      <c r="G128">
        <v>3</v>
      </c>
      <c r="H128" s="6">
        <v>180000</v>
      </c>
      <c r="I128" s="6">
        <v>540000</v>
      </c>
      <c r="J128" t="s">
        <v>41</v>
      </c>
      <c r="K128" t="s">
        <v>40</v>
      </c>
      <c r="L128" t="s">
        <v>84</v>
      </c>
    </row>
    <row r="129" spans="1:12" x14ac:dyDescent="0.25">
      <c r="A129">
        <v>10128</v>
      </c>
      <c r="B129" s="5">
        <v>46118</v>
      </c>
      <c r="C129" t="s">
        <v>62</v>
      </c>
      <c r="D129" t="s">
        <v>47</v>
      </c>
      <c r="E129" t="s">
        <v>58</v>
      </c>
      <c r="F129" t="s">
        <v>33</v>
      </c>
      <c r="G129">
        <v>6</v>
      </c>
      <c r="H129" s="6">
        <v>25000</v>
      </c>
      <c r="I129" s="6">
        <v>150000</v>
      </c>
      <c r="J129" t="s">
        <v>49</v>
      </c>
      <c r="K129" t="s">
        <v>40</v>
      </c>
      <c r="L129" t="s">
        <v>84</v>
      </c>
    </row>
    <row r="130" spans="1:12" x14ac:dyDescent="0.25">
      <c r="A130">
        <v>10129</v>
      </c>
      <c r="B130" s="5">
        <v>46043</v>
      </c>
      <c r="C130" t="s">
        <v>69</v>
      </c>
      <c r="D130" t="s">
        <v>63</v>
      </c>
      <c r="E130" t="s">
        <v>51</v>
      </c>
      <c r="F130" t="s">
        <v>34</v>
      </c>
      <c r="G130">
        <v>3</v>
      </c>
      <c r="H130" s="6">
        <v>55000</v>
      </c>
      <c r="I130" s="6">
        <v>165000</v>
      </c>
      <c r="J130" t="s">
        <v>49</v>
      </c>
      <c r="K130" t="s">
        <v>40</v>
      </c>
      <c r="L130" t="s">
        <v>86</v>
      </c>
    </row>
    <row r="131" spans="1:12" x14ac:dyDescent="0.25">
      <c r="A131">
        <v>10130</v>
      </c>
      <c r="B131" s="5">
        <v>46186</v>
      </c>
      <c r="C131" t="s">
        <v>54</v>
      </c>
      <c r="D131" t="s">
        <v>63</v>
      </c>
      <c r="E131" t="s">
        <v>51</v>
      </c>
      <c r="F131" t="s">
        <v>34</v>
      </c>
      <c r="G131">
        <v>8</v>
      </c>
      <c r="H131" s="6">
        <v>55000</v>
      </c>
      <c r="I131" s="6">
        <v>440000</v>
      </c>
      <c r="J131" t="s">
        <v>57</v>
      </c>
      <c r="K131" t="s">
        <v>40</v>
      </c>
      <c r="L131" t="s">
        <v>86</v>
      </c>
    </row>
    <row r="132" spans="1:12" x14ac:dyDescent="0.25">
      <c r="A132">
        <v>10131</v>
      </c>
      <c r="B132" s="5">
        <v>46041</v>
      </c>
      <c r="C132" t="s">
        <v>62</v>
      </c>
      <c r="D132" t="s">
        <v>55</v>
      </c>
      <c r="E132" t="s">
        <v>61</v>
      </c>
      <c r="F132" t="s">
        <v>36</v>
      </c>
      <c r="G132">
        <v>3</v>
      </c>
      <c r="H132" s="6">
        <v>45000</v>
      </c>
      <c r="I132" s="6">
        <v>135000</v>
      </c>
      <c r="J132" t="s">
        <v>57</v>
      </c>
      <c r="K132" t="s">
        <v>40</v>
      </c>
      <c r="L132" t="s">
        <v>87</v>
      </c>
    </row>
    <row r="133" spans="1:12" x14ac:dyDescent="0.25">
      <c r="A133">
        <v>10132</v>
      </c>
      <c r="B133" s="5">
        <v>46239</v>
      </c>
      <c r="C133" t="s">
        <v>54</v>
      </c>
      <c r="D133" t="s">
        <v>47</v>
      </c>
      <c r="E133" t="s">
        <v>61</v>
      </c>
      <c r="F133" t="s">
        <v>36</v>
      </c>
      <c r="G133">
        <v>8</v>
      </c>
      <c r="H133" s="6">
        <v>45000</v>
      </c>
      <c r="I133" s="6">
        <v>360000</v>
      </c>
      <c r="J133" t="s">
        <v>64</v>
      </c>
      <c r="K133" t="s">
        <v>48</v>
      </c>
      <c r="L133" t="s">
        <v>87</v>
      </c>
    </row>
    <row r="134" spans="1:12" x14ac:dyDescent="0.25">
      <c r="A134">
        <v>10133</v>
      </c>
      <c r="B134" s="5">
        <v>46169</v>
      </c>
      <c r="C134" t="s">
        <v>54</v>
      </c>
      <c r="D134" t="s">
        <v>70</v>
      </c>
      <c r="E134" t="s">
        <v>50</v>
      </c>
      <c r="F134" t="s">
        <v>33</v>
      </c>
      <c r="G134">
        <v>7</v>
      </c>
      <c r="H134" s="6">
        <v>12000</v>
      </c>
      <c r="I134" s="6">
        <v>84000</v>
      </c>
      <c r="J134" t="s">
        <v>57</v>
      </c>
      <c r="K134" t="s">
        <v>56</v>
      </c>
      <c r="L134" t="s">
        <v>84</v>
      </c>
    </row>
    <row r="135" spans="1:12" x14ac:dyDescent="0.25">
      <c r="A135">
        <v>10134</v>
      </c>
      <c r="B135" s="5">
        <v>46093</v>
      </c>
      <c r="C135" t="s">
        <v>38</v>
      </c>
      <c r="D135" t="s">
        <v>70</v>
      </c>
      <c r="E135" t="s">
        <v>44</v>
      </c>
      <c r="F135" t="s">
        <v>35</v>
      </c>
      <c r="G135">
        <v>7</v>
      </c>
      <c r="H135" s="6">
        <v>90000</v>
      </c>
      <c r="I135" s="6">
        <v>630000</v>
      </c>
      <c r="J135" t="s">
        <v>41</v>
      </c>
      <c r="K135" t="s">
        <v>48</v>
      </c>
      <c r="L135" t="s">
        <v>85</v>
      </c>
    </row>
    <row r="136" spans="1:12" x14ac:dyDescent="0.25">
      <c r="A136">
        <v>10135</v>
      </c>
      <c r="B136" s="5">
        <v>46178</v>
      </c>
      <c r="C136" t="s">
        <v>54</v>
      </c>
      <c r="D136" t="s">
        <v>47</v>
      </c>
      <c r="E136" t="s">
        <v>61</v>
      </c>
      <c r="F136" t="s">
        <v>36</v>
      </c>
      <c r="G136">
        <v>4</v>
      </c>
      <c r="H136" s="6">
        <v>45000</v>
      </c>
      <c r="I136" s="6">
        <v>180000</v>
      </c>
      <c r="J136" t="s">
        <v>49</v>
      </c>
      <c r="K136" t="s">
        <v>40</v>
      </c>
      <c r="L136" t="s">
        <v>87</v>
      </c>
    </row>
    <row r="137" spans="1:12" x14ac:dyDescent="0.25">
      <c r="A137">
        <v>10136</v>
      </c>
      <c r="B137" s="5">
        <v>46102</v>
      </c>
      <c r="C137" t="s">
        <v>62</v>
      </c>
      <c r="D137" t="s">
        <v>39</v>
      </c>
      <c r="E137" t="s">
        <v>43</v>
      </c>
      <c r="F137" t="s">
        <v>34</v>
      </c>
      <c r="G137">
        <v>1</v>
      </c>
      <c r="H137" s="6">
        <v>35000</v>
      </c>
      <c r="I137" s="6">
        <v>35000</v>
      </c>
      <c r="J137" t="s">
        <v>57</v>
      </c>
      <c r="K137" t="s">
        <v>40</v>
      </c>
      <c r="L137" t="s">
        <v>86</v>
      </c>
    </row>
    <row r="138" spans="1:12" x14ac:dyDescent="0.25">
      <c r="A138">
        <v>10137</v>
      </c>
      <c r="B138" s="5">
        <v>46214</v>
      </c>
      <c r="C138" t="s">
        <v>62</v>
      </c>
      <c r="D138" t="s">
        <v>47</v>
      </c>
      <c r="E138" t="s">
        <v>58</v>
      </c>
      <c r="F138" t="s">
        <v>33</v>
      </c>
      <c r="G138">
        <v>6</v>
      </c>
      <c r="H138" s="6">
        <v>25000</v>
      </c>
      <c r="I138" s="6">
        <v>150000</v>
      </c>
      <c r="J138" t="s">
        <v>49</v>
      </c>
      <c r="K138" t="s">
        <v>40</v>
      </c>
      <c r="L138" t="s">
        <v>84</v>
      </c>
    </row>
    <row r="139" spans="1:12" x14ac:dyDescent="0.25">
      <c r="A139">
        <v>10138</v>
      </c>
      <c r="B139" s="5">
        <v>46088</v>
      </c>
      <c r="C139" t="s">
        <v>62</v>
      </c>
      <c r="D139" t="s">
        <v>55</v>
      </c>
      <c r="E139" t="s">
        <v>60</v>
      </c>
      <c r="F139" t="s">
        <v>35</v>
      </c>
      <c r="G139">
        <v>3</v>
      </c>
      <c r="H139" s="6">
        <v>65000</v>
      </c>
      <c r="I139" s="6">
        <v>195000</v>
      </c>
      <c r="J139" t="s">
        <v>57</v>
      </c>
      <c r="K139" t="s">
        <v>48</v>
      </c>
      <c r="L139" t="s">
        <v>85</v>
      </c>
    </row>
    <row r="140" spans="1:12" x14ac:dyDescent="0.25">
      <c r="A140">
        <v>10139</v>
      </c>
      <c r="B140" s="5">
        <v>46216</v>
      </c>
      <c r="C140" t="s">
        <v>46</v>
      </c>
      <c r="D140" t="s">
        <v>73</v>
      </c>
      <c r="E140" t="s">
        <v>45</v>
      </c>
      <c r="F140" t="s">
        <v>36</v>
      </c>
      <c r="G140">
        <v>3</v>
      </c>
      <c r="H140" s="6">
        <v>140000</v>
      </c>
      <c r="I140" s="6">
        <v>420000</v>
      </c>
      <c r="J140" t="s">
        <v>64</v>
      </c>
      <c r="K140" t="s">
        <v>56</v>
      </c>
      <c r="L140" t="s">
        <v>87</v>
      </c>
    </row>
    <row r="141" spans="1:12" x14ac:dyDescent="0.25">
      <c r="A141">
        <v>10140</v>
      </c>
      <c r="B141" s="5">
        <v>46026</v>
      </c>
      <c r="C141" t="s">
        <v>54</v>
      </c>
      <c r="D141" t="s">
        <v>70</v>
      </c>
      <c r="E141" t="s">
        <v>44</v>
      </c>
      <c r="F141" t="s">
        <v>35</v>
      </c>
      <c r="G141">
        <v>7</v>
      </c>
      <c r="H141" s="6">
        <v>90000</v>
      </c>
      <c r="I141" s="6">
        <v>630000</v>
      </c>
      <c r="J141" t="s">
        <v>41</v>
      </c>
      <c r="K141" t="s">
        <v>40</v>
      </c>
      <c r="L141" t="s">
        <v>85</v>
      </c>
    </row>
    <row r="142" spans="1:12" x14ac:dyDescent="0.25">
      <c r="A142">
        <v>10141</v>
      </c>
      <c r="B142" s="5">
        <v>46050</v>
      </c>
      <c r="C142" t="s">
        <v>72</v>
      </c>
      <c r="D142" t="s">
        <v>47</v>
      </c>
      <c r="E142" t="s">
        <v>67</v>
      </c>
      <c r="F142" t="s">
        <v>35</v>
      </c>
      <c r="G142">
        <v>6</v>
      </c>
      <c r="H142" s="6">
        <v>50000</v>
      </c>
      <c r="I142" s="6">
        <v>300000</v>
      </c>
      <c r="J142" t="s">
        <v>64</v>
      </c>
      <c r="K142" t="s">
        <v>40</v>
      </c>
      <c r="L142" t="s">
        <v>85</v>
      </c>
    </row>
    <row r="143" spans="1:12" x14ac:dyDescent="0.25">
      <c r="A143">
        <v>10142</v>
      </c>
      <c r="B143" s="5">
        <v>46185</v>
      </c>
      <c r="C143" t="s">
        <v>62</v>
      </c>
      <c r="D143" t="s">
        <v>73</v>
      </c>
      <c r="E143" t="s">
        <v>52</v>
      </c>
      <c r="F143" t="s">
        <v>35</v>
      </c>
      <c r="G143">
        <v>2</v>
      </c>
      <c r="H143" s="6">
        <v>30000</v>
      </c>
      <c r="I143" s="6">
        <v>60000</v>
      </c>
      <c r="J143" t="s">
        <v>57</v>
      </c>
      <c r="K143" t="s">
        <v>40</v>
      </c>
      <c r="L143" t="s">
        <v>85</v>
      </c>
    </row>
    <row r="144" spans="1:12" x14ac:dyDescent="0.25">
      <c r="A144">
        <v>10143</v>
      </c>
      <c r="B144" s="5">
        <v>46032</v>
      </c>
      <c r="C144" t="s">
        <v>54</v>
      </c>
      <c r="D144" t="s">
        <v>63</v>
      </c>
      <c r="E144" t="s">
        <v>50</v>
      </c>
      <c r="F144" t="s">
        <v>33</v>
      </c>
      <c r="G144">
        <v>1</v>
      </c>
      <c r="H144" s="6">
        <v>12000</v>
      </c>
      <c r="I144" s="6">
        <v>12000</v>
      </c>
      <c r="J144" t="s">
        <v>41</v>
      </c>
      <c r="K144" t="s">
        <v>40</v>
      </c>
      <c r="L144" t="s">
        <v>84</v>
      </c>
    </row>
    <row r="145" spans="1:12" x14ac:dyDescent="0.25">
      <c r="A145">
        <v>10144</v>
      </c>
      <c r="B145" s="5">
        <v>46117</v>
      </c>
      <c r="C145" t="s">
        <v>72</v>
      </c>
      <c r="D145" t="s">
        <v>73</v>
      </c>
      <c r="E145" t="s">
        <v>66</v>
      </c>
      <c r="F145" t="s">
        <v>34</v>
      </c>
      <c r="G145">
        <v>8</v>
      </c>
      <c r="H145" s="6">
        <v>120000</v>
      </c>
      <c r="I145" s="6">
        <v>960000</v>
      </c>
      <c r="J145" t="s">
        <v>64</v>
      </c>
      <c r="K145" t="s">
        <v>40</v>
      </c>
      <c r="L145" t="s">
        <v>86</v>
      </c>
    </row>
    <row r="146" spans="1:12" x14ac:dyDescent="0.25">
      <c r="A146">
        <v>10145</v>
      </c>
      <c r="B146" s="5">
        <v>46236</v>
      </c>
      <c r="C146" t="s">
        <v>62</v>
      </c>
      <c r="D146" t="s">
        <v>70</v>
      </c>
      <c r="E146" t="s">
        <v>66</v>
      </c>
      <c r="F146" t="s">
        <v>34</v>
      </c>
      <c r="G146">
        <v>2</v>
      </c>
      <c r="H146" s="6">
        <v>120000</v>
      </c>
      <c r="I146" s="6">
        <v>240000</v>
      </c>
      <c r="J146" t="s">
        <v>64</v>
      </c>
      <c r="K146" t="s">
        <v>56</v>
      </c>
      <c r="L146" t="s">
        <v>86</v>
      </c>
    </row>
    <row r="147" spans="1:12" x14ac:dyDescent="0.25">
      <c r="A147">
        <v>10146</v>
      </c>
      <c r="B147" s="5">
        <v>46078</v>
      </c>
      <c r="C147" t="s">
        <v>62</v>
      </c>
      <c r="D147" t="s">
        <v>63</v>
      </c>
      <c r="E147" t="s">
        <v>44</v>
      </c>
      <c r="F147" t="s">
        <v>35</v>
      </c>
      <c r="G147">
        <v>6</v>
      </c>
      <c r="H147" s="6">
        <v>90000</v>
      </c>
      <c r="I147" s="6">
        <v>540000</v>
      </c>
      <c r="J147" t="s">
        <v>49</v>
      </c>
      <c r="K147" t="s">
        <v>48</v>
      </c>
      <c r="L147" t="s">
        <v>85</v>
      </c>
    </row>
    <row r="148" spans="1:12" x14ac:dyDescent="0.25">
      <c r="A148">
        <v>10147</v>
      </c>
      <c r="B148" s="5">
        <v>46162</v>
      </c>
      <c r="C148" t="s">
        <v>72</v>
      </c>
      <c r="D148" t="s">
        <v>55</v>
      </c>
      <c r="E148" t="s">
        <v>74</v>
      </c>
      <c r="F148" t="s">
        <v>33</v>
      </c>
      <c r="G148">
        <v>6</v>
      </c>
      <c r="H148" s="6">
        <v>220000</v>
      </c>
      <c r="I148" s="6">
        <v>1320000</v>
      </c>
      <c r="J148" t="s">
        <v>41</v>
      </c>
      <c r="K148" t="s">
        <v>40</v>
      </c>
      <c r="L148" t="s">
        <v>84</v>
      </c>
    </row>
    <row r="149" spans="1:12" x14ac:dyDescent="0.25">
      <c r="A149">
        <v>10148</v>
      </c>
      <c r="B149" s="5">
        <v>46046</v>
      </c>
      <c r="C149" t="s">
        <v>72</v>
      </c>
      <c r="D149" t="s">
        <v>47</v>
      </c>
      <c r="E149" t="s">
        <v>43</v>
      </c>
      <c r="F149" t="s">
        <v>34</v>
      </c>
      <c r="G149">
        <v>8</v>
      </c>
      <c r="H149" s="6">
        <v>35000</v>
      </c>
      <c r="I149" s="6">
        <v>280000</v>
      </c>
      <c r="J149" t="s">
        <v>41</v>
      </c>
      <c r="K149" t="s">
        <v>40</v>
      </c>
      <c r="L149" t="s">
        <v>86</v>
      </c>
    </row>
    <row r="150" spans="1:12" x14ac:dyDescent="0.25">
      <c r="A150">
        <v>10149</v>
      </c>
      <c r="B150" s="5">
        <v>46224</v>
      </c>
      <c r="C150" t="s">
        <v>69</v>
      </c>
      <c r="D150" t="s">
        <v>47</v>
      </c>
      <c r="E150" t="s">
        <v>52</v>
      </c>
      <c r="F150" t="s">
        <v>35</v>
      </c>
      <c r="G150">
        <v>3</v>
      </c>
      <c r="H150" s="6">
        <v>30000</v>
      </c>
      <c r="I150" s="6">
        <v>90000</v>
      </c>
      <c r="J150" t="s">
        <v>41</v>
      </c>
      <c r="K150" t="s">
        <v>48</v>
      </c>
      <c r="L150" t="s">
        <v>85</v>
      </c>
    </row>
    <row r="151" spans="1:12" x14ac:dyDescent="0.25">
      <c r="A151">
        <v>10150</v>
      </c>
      <c r="B151" s="5">
        <v>46107</v>
      </c>
      <c r="C151" t="s">
        <v>46</v>
      </c>
      <c r="D151" t="s">
        <v>70</v>
      </c>
      <c r="E151" t="s">
        <v>51</v>
      </c>
      <c r="F151" t="s">
        <v>34</v>
      </c>
      <c r="G151">
        <v>4</v>
      </c>
      <c r="H151" s="6">
        <v>55000</v>
      </c>
      <c r="I151" s="6">
        <v>220000</v>
      </c>
      <c r="J151" t="s">
        <v>41</v>
      </c>
      <c r="K151" t="s">
        <v>40</v>
      </c>
      <c r="L151" t="s">
        <v>86</v>
      </c>
    </row>
    <row r="152" spans="1:12" x14ac:dyDescent="0.25">
      <c r="A152">
        <v>10151</v>
      </c>
      <c r="B152" s="5">
        <v>46227</v>
      </c>
      <c r="C152" t="s">
        <v>46</v>
      </c>
      <c r="D152" t="s">
        <v>39</v>
      </c>
      <c r="E152" t="s">
        <v>51</v>
      </c>
      <c r="F152" t="s">
        <v>34</v>
      </c>
      <c r="G152">
        <v>5</v>
      </c>
      <c r="H152" s="6">
        <v>55000</v>
      </c>
      <c r="I152" s="6">
        <v>275000</v>
      </c>
      <c r="J152" t="s">
        <v>41</v>
      </c>
      <c r="K152" t="s">
        <v>40</v>
      </c>
      <c r="L152" t="s">
        <v>86</v>
      </c>
    </row>
    <row r="153" spans="1:12" x14ac:dyDescent="0.25">
      <c r="A153">
        <v>10152</v>
      </c>
      <c r="B153" s="5">
        <v>46027</v>
      </c>
      <c r="C153" t="s">
        <v>46</v>
      </c>
      <c r="D153" t="s">
        <v>55</v>
      </c>
      <c r="E153" t="s">
        <v>52</v>
      </c>
      <c r="F153" t="s">
        <v>35</v>
      </c>
      <c r="G153">
        <v>6</v>
      </c>
      <c r="H153" s="6">
        <v>30000</v>
      </c>
      <c r="I153" s="6">
        <v>180000</v>
      </c>
      <c r="J153" t="s">
        <v>41</v>
      </c>
      <c r="K153" t="s">
        <v>40</v>
      </c>
      <c r="L153" t="s">
        <v>85</v>
      </c>
    </row>
    <row r="154" spans="1:12" x14ac:dyDescent="0.25">
      <c r="A154">
        <v>10153</v>
      </c>
      <c r="B154" s="5">
        <v>46144</v>
      </c>
      <c r="C154" t="s">
        <v>62</v>
      </c>
      <c r="D154" t="s">
        <v>55</v>
      </c>
      <c r="E154" t="s">
        <v>45</v>
      </c>
      <c r="F154" t="s">
        <v>36</v>
      </c>
      <c r="G154">
        <v>2</v>
      </c>
      <c r="H154" s="6">
        <v>140000</v>
      </c>
      <c r="I154" s="6">
        <v>280000</v>
      </c>
      <c r="J154" t="s">
        <v>41</v>
      </c>
      <c r="K154" t="s">
        <v>40</v>
      </c>
      <c r="L154" t="s">
        <v>87</v>
      </c>
    </row>
    <row r="155" spans="1:12" x14ac:dyDescent="0.25">
      <c r="A155">
        <v>10154</v>
      </c>
      <c r="B155" s="5">
        <v>46140</v>
      </c>
      <c r="C155" t="s">
        <v>72</v>
      </c>
      <c r="D155" t="s">
        <v>39</v>
      </c>
      <c r="E155" t="s">
        <v>43</v>
      </c>
      <c r="F155" t="s">
        <v>34</v>
      </c>
      <c r="G155">
        <v>5</v>
      </c>
      <c r="H155" s="6">
        <v>35000</v>
      </c>
      <c r="I155" s="6">
        <v>175000</v>
      </c>
      <c r="J155" t="s">
        <v>41</v>
      </c>
      <c r="K155" t="s">
        <v>56</v>
      </c>
      <c r="L155" t="s">
        <v>86</v>
      </c>
    </row>
    <row r="156" spans="1:12" x14ac:dyDescent="0.25">
      <c r="A156">
        <v>10155</v>
      </c>
      <c r="B156" s="5">
        <v>46148</v>
      </c>
      <c r="C156" t="s">
        <v>72</v>
      </c>
      <c r="D156" t="s">
        <v>63</v>
      </c>
      <c r="E156" t="s">
        <v>68</v>
      </c>
      <c r="F156" t="s">
        <v>36</v>
      </c>
      <c r="G156">
        <v>2</v>
      </c>
      <c r="H156" s="6">
        <v>18000</v>
      </c>
      <c r="I156" s="6">
        <v>36000</v>
      </c>
      <c r="J156" t="s">
        <v>41</v>
      </c>
      <c r="K156" t="s">
        <v>48</v>
      </c>
      <c r="L156" t="s">
        <v>87</v>
      </c>
    </row>
    <row r="157" spans="1:12" x14ac:dyDescent="0.25">
      <c r="A157">
        <v>10156</v>
      </c>
      <c r="B157" s="5">
        <v>46055</v>
      </c>
      <c r="C157" t="s">
        <v>54</v>
      </c>
      <c r="D157" t="s">
        <v>70</v>
      </c>
      <c r="E157" t="s">
        <v>52</v>
      </c>
      <c r="F157" t="s">
        <v>35</v>
      </c>
      <c r="G157">
        <v>2</v>
      </c>
      <c r="H157" s="6">
        <v>30000</v>
      </c>
      <c r="I157" s="6">
        <v>60000</v>
      </c>
      <c r="J157" t="s">
        <v>57</v>
      </c>
      <c r="K157" t="s">
        <v>40</v>
      </c>
      <c r="L157" t="s">
        <v>85</v>
      </c>
    </row>
    <row r="158" spans="1:12" x14ac:dyDescent="0.25">
      <c r="A158">
        <v>10157</v>
      </c>
      <c r="B158" s="5">
        <v>46048</v>
      </c>
      <c r="C158" t="s">
        <v>72</v>
      </c>
      <c r="D158" t="s">
        <v>39</v>
      </c>
      <c r="E158" t="s">
        <v>67</v>
      </c>
      <c r="F158" t="s">
        <v>35</v>
      </c>
      <c r="G158">
        <v>7</v>
      </c>
      <c r="H158" s="6">
        <v>50000</v>
      </c>
      <c r="I158" s="6">
        <v>350000</v>
      </c>
      <c r="J158" t="s">
        <v>49</v>
      </c>
      <c r="K158" t="s">
        <v>40</v>
      </c>
      <c r="L158" t="s">
        <v>85</v>
      </c>
    </row>
    <row r="159" spans="1:12" x14ac:dyDescent="0.25">
      <c r="A159">
        <v>10158</v>
      </c>
      <c r="B159" s="5">
        <v>46234</v>
      </c>
      <c r="C159" t="s">
        <v>62</v>
      </c>
      <c r="D159" t="s">
        <v>63</v>
      </c>
      <c r="E159" t="s">
        <v>66</v>
      </c>
      <c r="F159" t="s">
        <v>34</v>
      </c>
      <c r="G159">
        <v>6</v>
      </c>
      <c r="H159" s="6">
        <v>120000</v>
      </c>
      <c r="I159" s="6">
        <v>720000</v>
      </c>
      <c r="J159" t="s">
        <v>64</v>
      </c>
      <c r="K159" t="s">
        <v>40</v>
      </c>
      <c r="L159" t="s">
        <v>86</v>
      </c>
    </row>
    <row r="160" spans="1:12" x14ac:dyDescent="0.25">
      <c r="A160">
        <v>10159</v>
      </c>
      <c r="B160" s="5">
        <v>46193</v>
      </c>
      <c r="C160" t="s">
        <v>54</v>
      </c>
      <c r="D160" t="s">
        <v>55</v>
      </c>
      <c r="E160" t="s">
        <v>67</v>
      </c>
      <c r="F160" t="s">
        <v>35</v>
      </c>
      <c r="G160">
        <v>6</v>
      </c>
      <c r="H160" s="6">
        <v>50000</v>
      </c>
      <c r="I160" s="6">
        <v>300000</v>
      </c>
      <c r="J160" t="s">
        <v>49</v>
      </c>
      <c r="K160" t="s">
        <v>40</v>
      </c>
      <c r="L160" t="s">
        <v>85</v>
      </c>
    </row>
    <row r="161" spans="1:12" x14ac:dyDescent="0.25">
      <c r="A161">
        <v>10160</v>
      </c>
      <c r="B161" s="5">
        <v>46235</v>
      </c>
      <c r="C161" t="s">
        <v>38</v>
      </c>
      <c r="D161" t="s">
        <v>39</v>
      </c>
      <c r="E161" t="s">
        <v>45</v>
      </c>
      <c r="F161" t="s">
        <v>36</v>
      </c>
      <c r="G161">
        <v>2</v>
      </c>
      <c r="H161" s="6">
        <v>140000</v>
      </c>
      <c r="I161" s="6">
        <v>280000</v>
      </c>
      <c r="J161" t="s">
        <v>64</v>
      </c>
      <c r="K161" t="s">
        <v>40</v>
      </c>
      <c r="L161" t="s">
        <v>87</v>
      </c>
    </row>
    <row r="162" spans="1:12" x14ac:dyDescent="0.25">
      <c r="A162">
        <v>10161</v>
      </c>
      <c r="B162" s="5">
        <v>46173</v>
      </c>
      <c r="C162" t="s">
        <v>69</v>
      </c>
      <c r="D162" t="s">
        <v>70</v>
      </c>
      <c r="E162" t="s">
        <v>52</v>
      </c>
      <c r="F162" t="s">
        <v>35</v>
      </c>
      <c r="G162">
        <v>1</v>
      </c>
      <c r="H162" s="6">
        <v>30000</v>
      </c>
      <c r="I162" s="6">
        <v>30000</v>
      </c>
      <c r="J162" t="s">
        <v>57</v>
      </c>
      <c r="K162" t="s">
        <v>40</v>
      </c>
      <c r="L162" t="s">
        <v>85</v>
      </c>
    </row>
    <row r="163" spans="1:12" x14ac:dyDescent="0.25">
      <c r="A163">
        <v>10162</v>
      </c>
      <c r="B163" s="5">
        <v>46245</v>
      </c>
      <c r="C163" t="s">
        <v>72</v>
      </c>
      <c r="D163" t="s">
        <v>39</v>
      </c>
      <c r="E163" t="s">
        <v>61</v>
      </c>
      <c r="F163" t="s">
        <v>36</v>
      </c>
      <c r="G163">
        <v>7</v>
      </c>
      <c r="H163" s="6">
        <v>45000</v>
      </c>
      <c r="I163" s="6">
        <v>315000</v>
      </c>
      <c r="J163" t="s">
        <v>57</v>
      </c>
      <c r="K163" t="s">
        <v>40</v>
      </c>
      <c r="L163" t="s">
        <v>87</v>
      </c>
    </row>
    <row r="164" spans="1:12" x14ac:dyDescent="0.25">
      <c r="A164">
        <v>10163</v>
      </c>
      <c r="B164" s="5">
        <v>46062</v>
      </c>
      <c r="C164" t="s">
        <v>72</v>
      </c>
      <c r="D164" t="s">
        <v>63</v>
      </c>
      <c r="E164" t="s">
        <v>44</v>
      </c>
      <c r="F164" t="s">
        <v>35</v>
      </c>
      <c r="G164">
        <v>4</v>
      </c>
      <c r="H164" s="6">
        <v>90000</v>
      </c>
      <c r="I164" s="6">
        <v>360000</v>
      </c>
      <c r="J164" t="s">
        <v>49</v>
      </c>
      <c r="K164" t="s">
        <v>48</v>
      </c>
      <c r="L164" t="s">
        <v>85</v>
      </c>
    </row>
    <row r="165" spans="1:12" x14ac:dyDescent="0.25">
      <c r="A165">
        <v>10164</v>
      </c>
      <c r="B165" s="5">
        <v>46218</v>
      </c>
      <c r="C165" t="s">
        <v>54</v>
      </c>
      <c r="D165" t="s">
        <v>70</v>
      </c>
      <c r="E165" t="s">
        <v>60</v>
      </c>
      <c r="F165" t="s">
        <v>35</v>
      </c>
      <c r="G165">
        <v>2</v>
      </c>
      <c r="H165" s="6">
        <v>65000</v>
      </c>
      <c r="I165" s="6">
        <v>130000</v>
      </c>
      <c r="J165" t="s">
        <v>49</v>
      </c>
      <c r="K165" t="s">
        <v>48</v>
      </c>
      <c r="L165" t="s">
        <v>85</v>
      </c>
    </row>
    <row r="166" spans="1:12" x14ac:dyDescent="0.25">
      <c r="A166">
        <v>10165</v>
      </c>
      <c r="B166" s="5">
        <v>46030</v>
      </c>
      <c r="C166" t="s">
        <v>46</v>
      </c>
      <c r="D166" t="s">
        <v>55</v>
      </c>
      <c r="E166" t="s">
        <v>71</v>
      </c>
      <c r="F166" t="s">
        <v>33</v>
      </c>
      <c r="G166">
        <v>5</v>
      </c>
      <c r="H166" s="6">
        <v>45000</v>
      </c>
      <c r="I166" s="6">
        <v>225000</v>
      </c>
      <c r="J166" t="s">
        <v>57</v>
      </c>
      <c r="K166" t="s">
        <v>48</v>
      </c>
      <c r="L166" t="s">
        <v>84</v>
      </c>
    </row>
    <row r="167" spans="1:12" x14ac:dyDescent="0.25">
      <c r="A167">
        <v>10166</v>
      </c>
      <c r="B167" s="5">
        <v>46245</v>
      </c>
      <c r="C167" t="s">
        <v>46</v>
      </c>
      <c r="D167" t="s">
        <v>70</v>
      </c>
      <c r="E167" t="s">
        <v>44</v>
      </c>
      <c r="F167" t="s">
        <v>35</v>
      </c>
      <c r="G167">
        <v>3</v>
      </c>
      <c r="H167" s="6">
        <v>90000</v>
      </c>
      <c r="I167" s="6">
        <v>270000</v>
      </c>
      <c r="J167" t="s">
        <v>64</v>
      </c>
      <c r="K167" t="s">
        <v>40</v>
      </c>
      <c r="L167" t="s">
        <v>85</v>
      </c>
    </row>
    <row r="168" spans="1:12" x14ac:dyDescent="0.25">
      <c r="A168">
        <v>10167</v>
      </c>
      <c r="B168" s="5">
        <v>46119</v>
      </c>
      <c r="C168" t="s">
        <v>62</v>
      </c>
      <c r="D168" t="s">
        <v>63</v>
      </c>
      <c r="E168" t="s">
        <v>42</v>
      </c>
      <c r="F168" t="s">
        <v>33</v>
      </c>
      <c r="G168">
        <v>4</v>
      </c>
      <c r="H168" s="6">
        <v>650000</v>
      </c>
      <c r="I168" s="6">
        <v>2600000</v>
      </c>
      <c r="J168" t="s">
        <v>57</v>
      </c>
      <c r="K168" t="s">
        <v>40</v>
      </c>
      <c r="L168" t="s">
        <v>84</v>
      </c>
    </row>
    <row r="169" spans="1:12" x14ac:dyDescent="0.25">
      <c r="A169">
        <v>10168</v>
      </c>
      <c r="B169" s="5">
        <v>46249</v>
      </c>
      <c r="C169" t="s">
        <v>38</v>
      </c>
      <c r="D169" t="s">
        <v>47</v>
      </c>
      <c r="E169" t="s">
        <v>60</v>
      </c>
      <c r="F169" t="s">
        <v>35</v>
      </c>
      <c r="G169">
        <v>2</v>
      </c>
      <c r="H169" s="6">
        <v>65000</v>
      </c>
      <c r="I169" s="6">
        <v>130000</v>
      </c>
      <c r="J169" t="s">
        <v>49</v>
      </c>
      <c r="K169" t="s">
        <v>48</v>
      </c>
      <c r="L169" t="s">
        <v>85</v>
      </c>
    </row>
    <row r="170" spans="1:12" x14ac:dyDescent="0.25">
      <c r="A170">
        <v>10169</v>
      </c>
      <c r="B170" s="5">
        <v>46092</v>
      </c>
      <c r="C170" t="s">
        <v>62</v>
      </c>
      <c r="D170" t="s">
        <v>73</v>
      </c>
      <c r="E170" t="s">
        <v>74</v>
      </c>
      <c r="F170" t="s">
        <v>33</v>
      </c>
      <c r="G170">
        <v>2</v>
      </c>
      <c r="H170" s="6">
        <v>220000</v>
      </c>
      <c r="I170" s="6">
        <v>440000</v>
      </c>
      <c r="J170" t="s">
        <v>64</v>
      </c>
      <c r="K170" t="s">
        <v>40</v>
      </c>
      <c r="L170" t="s">
        <v>84</v>
      </c>
    </row>
    <row r="171" spans="1:12" x14ac:dyDescent="0.25">
      <c r="A171">
        <v>10170</v>
      </c>
      <c r="B171" s="5">
        <v>46078</v>
      </c>
      <c r="C171" t="s">
        <v>69</v>
      </c>
      <c r="D171" t="s">
        <v>39</v>
      </c>
      <c r="E171" t="s">
        <v>68</v>
      </c>
      <c r="F171" t="s">
        <v>36</v>
      </c>
      <c r="G171">
        <v>5</v>
      </c>
      <c r="H171" s="6">
        <v>18000</v>
      </c>
      <c r="I171" s="6">
        <v>90000</v>
      </c>
      <c r="J171" t="s">
        <v>57</v>
      </c>
      <c r="K171" t="s">
        <v>40</v>
      </c>
      <c r="L171" t="s">
        <v>87</v>
      </c>
    </row>
    <row r="172" spans="1:12" x14ac:dyDescent="0.25">
      <c r="A172">
        <v>10171</v>
      </c>
      <c r="B172" s="5">
        <v>46034</v>
      </c>
      <c r="C172" t="s">
        <v>46</v>
      </c>
      <c r="D172" t="s">
        <v>63</v>
      </c>
      <c r="E172" t="s">
        <v>67</v>
      </c>
      <c r="F172" t="s">
        <v>35</v>
      </c>
      <c r="G172">
        <v>5</v>
      </c>
      <c r="H172" s="6">
        <v>50000</v>
      </c>
      <c r="I172" s="6">
        <v>250000</v>
      </c>
      <c r="J172" t="s">
        <v>41</v>
      </c>
      <c r="K172" t="s">
        <v>40</v>
      </c>
      <c r="L172" t="s">
        <v>85</v>
      </c>
    </row>
    <row r="173" spans="1:12" x14ac:dyDescent="0.25">
      <c r="A173">
        <v>10172</v>
      </c>
      <c r="B173" s="5">
        <v>46218</v>
      </c>
      <c r="C173" t="s">
        <v>54</v>
      </c>
      <c r="D173" t="s">
        <v>55</v>
      </c>
      <c r="E173" t="s">
        <v>52</v>
      </c>
      <c r="F173" t="s">
        <v>35</v>
      </c>
      <c r="G173">
        <v>3</v>
      </c>
      <c r="H173" s="6">
        <v>30000</v>
      </c>
      <c r="I173" s="6">
        <v>90000</v>
      </c>
      <c r="J173" t="s">
        <v>57</v>
      </c>
      <c r="K173" t="s">
        <v>40</v>
      </c>
      <c r="L173" t="s">
        <v>85</v>
      </c>
    </row>
    <row r="174" spans="1:12" x14ac:dyDescent="0.25">
      <c r="A174">
        <v>10173</v>
      </c>
      <c r="B174" s="5">
        <v>46056</v>
      </c>
      <c r="C174" t="s">
        <v>62</v>
      </c>
      <c r="D174" t="s">
        <v>70</v>
      </c>
      <c r="E174" t="s">
        <v>68</v>
      </c>
      <c r="F174" t="s">
        <v>36</v>
      </c>
      <c r="G174">
        <v>3</v>
      </c>
      <c r="H174" s="6">
        <v>18000</v>
      </c>
      <c r="I174" s="6">
        <v>54000</v>
      </c>
      <c r="J174" t="s">
        <v>49</v>
      </c>
      <c r="K174" t="s">
        <v>40</v>
      </c>
      <c r="L174" t="s">
        <v>87</v>
      </c>
    </row>
    <row r="175" spans="1:12" x14ac:dyDescent="0.25">
      <c r="A175">
        <v>10174</v>
      </c>
      <c r="B175" s="5">
        <v>46243</v>
      </c>
      <c r="C175" t="s">
        <v>72</v>
      </c>
      <c r="D175" t="s">
        <v>39</v>
      </c>
      <c r="E175" t="s">
        <v>44</v>
      </c>
      <c r="F175" t="s">
        <v>35</v>
      </c>
      <c r="G175">
        <v>7</v>
      </c>
      <c r="H175" s="6">
        <v>90000</v>
      </c>
      <c r="I175" s="6">
        <v>630000</v>
      </c>
      <c r="J175" t="s">
        <v>64</v>
      </c>
      <c r="K175" t="s">
        <v>40</v>
      </c>
      <c r="L175" t="s">
        <v>85</v>
      </c>
    </row>
    <row r="176" spans="1:12" x14ac:dyDescent="0.25">
      <c r="A176">
        <v>10175</v>
      </c>
      <c r="B176" s="5">
        <v>46169</v>
      </c>
      <c r="C176" t="s">
        <v>62</v>
      </c>
      <c r="D176" t="s">
        <v>73</v>
      </c>
      <c r="E176" t="s">
        <v>58</v>
      </c>
      <c r="F176" t="s">
        <v>33</v>
      </c>
      <c r="G176">
        <v>7</v>
      </c>
      <c r="H176" s="6">
        <v>25000</v>
      </c>
      <c r="I176" s="6">
        <v>175000</v>
      </c>
      <c r="J176" t="s">
        <v>64</v>
      </c>
      <c r="K176" t="s">
        <v>40</v>
      </c>
      <c r="L176" t="s">
        <v>84</v>
      </c>
    </row>
    <row r="177" spans="1:12" x14ac:dyDescent="0.25">
      <c r="A177">
        <v>10176</v>
      </c>
      <c r="B177" s="5">
        <v>46066</v>
      </c>
      <c r="C177" t="s">
        <v>69</v>
      </c>
      <c r="D177" t="s">
        <v>63</v>
      </c>
      <c r="E177" t="s">
        <v>45</v>
      </c>
      <c r="F177" t="s">
        <v>36</v>
      </c>
      <c r="G177">
        <v>6</v>
      </c>
      <c r="H177" s="6">
        <v>140000</v>
      </c>
      <c r="I177" s="6">
        <v>840000</v>
      </c>
      <c r="J177" t="s">
        <v>57</v>
      </c>
      <c r="K177" t="s">
        <v>40</v>
      </c>
      <c r="L177" t="s">
        <v>87</v>
      </c>
    </row>
    <row r="178" spans="1:12" x14ac:dyDescent="0.25">
      <c r="A178">
        <v>10177</v>
      </c>
      <c r="B178" s="5">
        <v>46173</v>
      </c>
      <c r="C178" t="s">
        <v>62</v>
      </c>
      <c r="D178" t="s">
        <v>70</v>
      </c>
      <c r="E178" t="s">
        <v>50</v>
      </c>
      <c r="F178" t="s">
        <v>33</v>
      </c>
      <c r="G178">
        <v>7</v>
      </c>
      <c r="H178" s="6">
        <v>12000</v>
      </c>
      <c r="I178" s="6">
        <v>84000</v>
      </c>
      <c r="J178" t="s">
        <v>41</v>
      </c>
      <c r="K178" t="s">
        <v>40</v>
      </c>
      <c r="L178" t="s">
        <v>84</v>
      </c>
    </row>
    <row r="179" spans="1:12" x14ac:dyDescent="0.25">
      <c r="A179">
        <v>10178</v>
      </c>
      <c r="B179" s="5">
        <v>46108</v>
      </c>
      <c r="C179" t="s">
        <v>46</v>
      </c>
      <c r="D179" t="s">
        <v>39</v>
      </c>
      <c r="E179" t="s">
        <v>60</v>
      </c>
      <c r="F179" t="s">
        <v>35</v>
      </c>
      <c r="G179">
        <v>4</v>
      </c>
      <c r="H179" s="6">
        <v>65000</v>
      </c>
      <c r="I179" s="6">
        <v>260000</v>
      </c>
      <c r="J179" t="s">
        <v>41</v>
      </c>
      <c r="K179" t="s">
        <v>40</v>
      </c>
      <c r="L179" t="s">
        <v>85</v>
      </c>
    </row>
    <row r="180" spans="1:12" x14ac:dyDescent="0.25">
      <c r="A180">
        <v>10179</v>
      </c>
      <c r="B180" s="5">
        <v>46209</v>
      </c>
      <c r="C180" t="s">
        <v>72</v>
      </c>
      <c r="D180" t="s">
        <v>47</v>
      </c>
      <c r="E180" t="s">
        <v>59</v>
      </c>
      <c r="F180" t="s">
        <v>34</v>
      </c>
      <c r="G180">
        <v>6</v>
      </c>
      <c r="H180" s="6">
        <v>70000</v>
      </c>
      <c r="I180" s="6">
        <v>420000</v>
      </c>
      <c r="J180" t="s">
        <v>49</v>
      </c>
      <c r="K180" t="s">
        <v>40</v>
      </c>
      <c r="L180" t="s">
        <v>86</v>
      </c>
    </row>
    <row r="181" spans="1:12" x14ac:dyDescent="0.25">
      <c r="A181">
        <v>10180</v>
      </c>
      <c r="B181" s="5">
        <v>46177</v>
      </c>
      <c r="C181" t="s">
        <v>46</v>
      </c>
      <c r="D181" t="s">
        <v>73</v>
      </c>
      <c r="E181" t="s">
        <v>52</v>
      </c>
      <c r="F181" t="s">
        <v>35</v>
      </c>
      <c r="G181">
        <v>3</v>
      </c>
      <c r="H181" s="6">
        <v>30000</v>
      </c>
      <c r="I181" s="6">
        <v>90000</v>
      </c>
      <c r="J181" t="s">
        <v>41</v>
      </c>
      <c r="K181" t="s">
        <v>40</v>
      </c>
      <c r="L181" t="s">
        <v>85</v>
      </c>
    </row>
    <row r="182" spans="1:12" x14ac:dyDescent="0.25">
      <c r="A182">
        <v>10181</v>
      </c>
      <c r="B182" s="5">
        <v>46197</v>
      </c>
      <c r="C182" t="s">
        <v>69</v>
      </c>
      <c r="D182" t="s">
        <v>73</v>
      </c>
      <c r="E182" t="s">
        <v>68</v>
      </c>
      <c r="F182" t="s">
        <v>36</v>
      </c>
      <c r="G182">
        <v>8</v>
      </c>
      <c r="H182" s="6">
        <v>18000</v>
      </c>
      <c r="I182" s="6">
        <v>144000</v>
      </c>
      <c r="J182" t="s">
        <v>57</v>
      </c>
      <c r="K182" t="s">
        <v>48</v>
      </c>
      <c r="L182" t="s">
        <v>87</v>
      </c>
    </row>
    <row r="183" spans="1:12" x14ac:dyDescent="0.25">
      <c r="A183">
        <v>10182</v>
      </c>
      <c r="B183" s="5">
        <v>46040</v>
      </c>
      <c r="C183" t="s">
        <v>62</v>
      </c>
      <c r="D183" t="s">
        <v>63</v>
      </c>
      <c r="E183" t="s">
        <v>52</v>
      </c>
      <c r="F183" t="s">
        <v>35</v>
      </c>
      <c r="G183">
        <v>8</v>
      </c>
      <c r="H183" s="6">
        <v>30000</v>
      </c>
      <c r="I183" s="6">
        <v>240000</v>
      </c>
      <c r="J183" t="s">
        <v>57</v>
      </c>
      <c r="K183" t="s">
        <v>48</v>
      </c>
      <c r="L183" t="s">
        <v>85</v>
      </c>
    </row>
    <row r="184" spans="1:12" x14ac:dyDescent="0.25">
      <c r="A184">
        <v>10183</v>
      </c>
      <c r="B184" s="5">
        <v>46102</v>
      </c>
      <c r="C184" t="s">
        <v>62</v>
      </c>
      <c r="D184" t="s">
        <v>63</v>
      </c>
      <c r="E184" t="s">
        <v>58</v>
      </c>
      <c r="F184" t="s">
        <v>33</v>
      </c>
      <c r="G184">
        <v>2</v>
      </c>
      <c r="H184" s="6">
        <v>25000</v>
      </c>
      <c r="I184" s="6">
        <v>50000</v>
      </c>
      <c r="J184" t="s">
        <v>41</v>
      </c>
      <c r="K184" t="s">
        <v>40</v>
      </c>
      <c r="L184" t="s">
        <v>84</v>
      </c>
    </row>
    <row r="185" spans="1:12" x14ac:dyDescent="0.25">
      <c r="A185">
        <v>10184</v>
      </c>
      <c r="B185" s="5">
        <v>46180</v>
      </c>
      <c r="C185" t="s">
        <v>69</v>
      </c>
      <c r="D185" t="s">
        <v>70</v>
      </c>
      <c r="E185" t="s">
        <v>44</v>
      </c>
      <c r="F185" t="s">
        <v>35</v>
      </c>
      <c r="G185">
        <v>2</v>
      </c>
      <c r="H185" s="6">
        <v>90000</v>
      </c>
      <c r="I185" s="6">
        <v>180000</v>
      </c>
      <c r="J185" t="s">
        <v>64</v>
      </c>
      <c r="K185" t="s">
        <v>40</v>
      </c>
      <c r="L185" t="s">
        <v>85</v>
      </c>
    </row>
    <row r="186" spans="1:12" x14ac:dyDescent="0.25">
      <c r="A186">
        <v>10185</v>
      </c>
      <c r="B186" s="5">
        <v>46105</v>
      </c>
      <c r="C186" t="s">
        <v>69</v>
      </c>
      <c r="D186" t="s">
        <v>63</v>
      </c>
      <c r="E186" t="s">
        <v>65</v>
      </c>
      <c r="F186" t="s">
        <v>33</v>
      </c>
      <c r="G186">
        <v>4</v>
      </c>
      <c r="H186" s="6">
        <v>180000</v>
      </c>
      <c r="I186" s="6">
        <v>720000</v>
      </c>
      <c r="J186" t="s">
        <v>49</v>
      </c>
      <c r="K186" t="s">
        <v>56</v>
      </c>
      <c r="L186" t="s">
        <v>84</v>
      </c>
    </row>
    <row r="187" spans="1:12" x14ac:dyDescent="0.25">
      <c r="A187">
        <v>10186</v>
      </c>
      <c r="B187" s="5">
        <v>46205</v>
      </c>
      <c r="C187" t="s">
        <v>38</v>
      </c>
      <c r="D187" t="s">
        <v>70</v>
      </c>
      <c r="E187" t="s">
        <v>45</v>
      </c>
      <c r="F187" t="s">
        <v>36</v>
      </c>
      <c r="G187">
        <v>6</v>
      </c>
      <c r="H187" s="6">
        <v>140000</v>
      </c>
      <c r="I187" s="6">
        <v>840000</v>
      </c>
      <c r="J187" t="s">
        <v>49</v>
      </c>
      <c r="K187" t="s">
        <v>40</v>
      </c>
      <c r="L187" t="s">
        <v>87</v>
      </c>
    </row>
    <row r="188" spans="1:12" x14ac:dyDescent="0.25">
      <c r="A188">
        <v>10187</v>
      </c>
      <c r="B188" s="5">
        <v>46116</v>
      </c>
      <c r="C188" t="s">
        <v>54</v>
      </c>
      <c r="D188" t="s">
        <v>55</v>
      </c>
      <c r="E188" t="s">
        <v>68</v>
      </c>
      <c r="F188" t="s">
        <v>36</v>
      </c>
      <c r="G188">
        <v>3</v>
      </c>
      <c r="H188" s="6">
        <v>18000</v>
      </c>
      <c r="I188" s="6">
        <v>54000</v>
      </c>
      <c r="J188" t="s">
        <v>64</v>
      </c>
      <c r="K188" t="s">
        <v>40</v>
      </c>
      <c r="L188" t="s">
        <v>87</v>
      </c>
    </row>
    <row r="189" spans="1:12" x14ac:dyDescent="0.25">
      <c r="A189">
        <v>10188</v>
      </c>
      <c r="B189" s="5">
        <v>46039</v>
      </c>
      <c r="C189" t="s">
        <v>54</v>
      </c>
      <c r="D189" t="s">
        <v>39</v>
      </c>
      <c r="E189" t="s">
        <v>44</v>
      </c>
      <c r="F189" t="s">
        <v>35</v>
      </c>
      <c r="G189">
        <v>6</v>
      </c>
      <c r="H189" s="6">
        <v>90000</v>
      </c>
      <c r="I189" s="6">
        <v>540000</v>
      </c>
      <c r="J189" t="s">
        <v>64</v>
      </c>
      <c r="K189" t="s">
        <v>40</v>
      </c>
      <c r="L189" t="s">
        <v>85</v>
      </c>
    </row>
    <row r="190" spans="1:12" x14ac:dyDescent="0.25">
      <c r="A190">
        <v>10189</v>
      </c>
      <c r="B190" s="5">
        <v>46172</v>
      </c>
      <c r="C190" t="s">
        <v>72</v>
      </c>
      <c r="D190" t="s">
        <v>47</v>
      </c>
      <c r="E190" t="s">
        <v>59</v>
      </c>
      <c r="F190" t="s">
        <v>34</v>
      </c>
      <c r="G190">
        <v>2</v>
      </c>
      <c r="H190" s="6">
        <v>70000</v>
      </c>
      <c r="I190" s="6">
        <v>140000</v>
      </c>
      <c r="J190" t="s">
        <v>57</v>
      </c>
      <c r="K190" t="s">
        <v>40</v>
      </c>
      <c r="L190" t="s">
        <v>86</v>
      </c>
    </row>
    <row r="191" spans="1:12" x14ac:dyDescent="0.25">
      <c r="A191">
        <v>10190</v>
      </c>
      <c r="B191" s="5">
        <v>46102</v>
      </c>
      <c r="C191" t="s">
        <v>69</v>
      </c>
      <c r="D191" t="s">
        <v>63</v>
      </c>
      <c r="E191" t="s">
        <v>53</v>
      </c>
      <c r="F191" t="s">
        <v>36</v>
      </c>
      <c r="G191">
        <v>2</v>
      </c>
      <c r="H191" s="6">
        <v>180000</v>
      </c>
      <c r="I191" s="6">
        <v>360000</v>
      </c>
      <c r="J191" t="s">
        <v>57</v>
      </c>
      <c r="K191" t="s">
        <v>48</v>
      </c>
      <c r="L191" t="s">
        <v>87</v>
      </c>
    </row>
    <row r="192" spans="1:12" x14ac:dyDescent="0.25">
      <c r="A192">
        <v>10191</v>
      </c>
      <c r="B192" s="5">
        <v>46153</v>
      </c>
      <c r="C192" t="s">
        <v>54</v>
      </c>
      <c r="D192" t="s">
        <v>39</v>
      </c>
      <c r="E192" t="s">
        <v>74</v>
      </c>
      <c r="F192" t="s">
        <v>33</v>
      </c>
      <c r="G192">
        <v>7</v>
      </c>
      <c r="H192" s="6">
        <v>220000</v>
      </c>
      <c r="I192" s="6">
        <v>1540000</v>
      </c>
      <c r="J192" t="s">
        <v>57</v>
      </c>
      <c r="K192" t="s">
        <v>40</v>
      </c>
      <c r="L192" t="s">
        <v>84</v>
      </c>
    </row>
    <row r="193" spans="1:12" x14ac:dyDescent="0.25">
      <c r="A193">
        <v>10192</v>
      </c>
      <c r="B193" s="5">
        <v>46072</v>
      </c>
      <c r="C193" t="s">
        <v>46</v>
      </c>
      <c r="D193" t="s">
        <v>47</v>
      </c>
      <c r="E193" t="s">
        <v>59</v>
      </c>
      <c r="F193" t="s">
        <v>34</v>
      </c>
      <c r="G193">
        <v>8</v>
      </c>
      <c r="H193" s="6">
        <v>70000</v>
      </c>
      <c r="I193" s="6">
        <v>560000</v>
      </c>
      <c r="J193" t="s">
        <v>49</v>
      </c>
      <c r="K193" t="s">
        <v>40</v>
      </c>
      <c r="L193" t="s">
        <v>86</v>
      </c>
    </row>
    <row r="194" spans="1:12" x14ac:dyDescent="0.25">
      <c r="A194">
        <v>10193</v>
      </c>
      <c r="B194" s="5">
        <v>46192</v>
      </c>
      <c r="C194" t="s">
        <v>54</v>
      </c>
      <c r="D194" t="s">
        <v>70</v>
      </c>
      <c r="E194" t="s">
        <v>71</v>
      </c>
      <c r="F194" t="s">
        <v>33</v>
      </c>
      <c r="G194">
        <v>1</v>
      </c>
      <c r="H194" s="6">
        <v>45000</v>
      </c>
      <c r="I194" s="6">
        <v>45000</v>
      </c>
      <c r="J194" t="s">
        <v>49</v>
      </c>
      <c r="K194" t="s">
        <v>40</v>
      </c>
      <c r="L194" t="s">
        <v>84</v>
      </c>
    </row>
    <row r="195" spans="1:12" x14ac:dyDescent="0.25">
      <c r="A195">
        <v>10194</v>
      </c>
      <c r="B195" s="5">
        <v>46235</v>
      </c>
      <c r="C195" t="s">
        <v>72</v>
      </c>
      <c r="D195" t="s">
        <v>70</v>
      </c>
      <c r="E195" t="s">
        <v>51</v>
      </c>
      <c r="F195" t="s">
        <v>34</v>
      </c>
      <c r="G195">
        <v>3</v>
      </c>
      <c r="H195" s="6">
        <v>55000</v>
      </c>
      <c r="I195" s="6">
        <v>165000</v>
      </c>
      <c r="J195" t="s">
        <v>49</v>
      </c>
      <c r="K195" t="s">
        <v>40</v>
      </c>
      <c r="L195" t="s">
        <v>86</v>
      </c>
    </row>
    <row r="196" spans="1:12" x14ac:dyDescent="0.25">
      <c r="A196">
        <v>10195</v>
      </c>
      <c r="B196" s="5">
        <v>46196</v>
      </c>
      <c r="C196" t="s">
        <v>72</v>
      </c>
      <c r="D196" t="s">
        <v>47</v>
      </c>
      <c r="E196" t="s">
        <v>65</v>
      </c>
      <c r="F196" t="s">
        <v>33</v>
      </c>
      <c r="G196">
        <v>6</v>
      </c>
      <c r="H196" s="6">
        <v>180000</v>
      </c>
      <c r="I196" s="6">
        <v>1080000</v>
      </c>
      <c r="J196" t="s">
        <v>64</v>
      </c>
      <c r="K196" t="s">
        <v>40</v>
      </c>
      <c r="L196" t="s">
        <v>84</v>
      </c>
    </row>
    <row r="197" spans="1:12" x14ac:dyDescent="0.25">
      <c r="A197">
        <v>10196</v>
      </c>
      <c r="B197" s="5">
        <v>46102</v>
      </c>
      <c r="C197" t="s">
        <v>62</v>
      </c>
      <c r="D197" t="s">
        <v>47</v>
      </c>
      <c r="E197" t="s">
        <v>53</v>
      </c>
      <c r="F197" t="s">
        <v>36</v>
      </c>
      <c r="G197">
        <v>4</v>
      </c>
      <c r="H197" s="6">
        <v>180000</v>
      </c>
      <c r="I197" s="6">
        <v>720000</v>
      </c>
      <c r="J197" t="s">
        <v>57</v>
      </c>
      <c r="K197" t="s">
        <v>40</v>
      </c>
      <c r="L197" t="s">
        <v>87</v>
      </c>
    </row>
    <row r="198" spans="1:12" x14ac:dyDescent="0.25">
      <c r="A198">
        <v>10197</v>
      </c>
      <c r="B198" s="5">
        <v>46222</v>
      </c>
      <c r="C198" t="s">
        <v>62</v>
      </c>
      <c r="D198" t="s">
        <v>70</v>
      </c>
      <c r="E198" t="s">
        <v>68</v>
      </c>
      <c r="F198" t="s">
        <v>36</v>
      </c>
      <c r="G198">
        <v>5</v>
      </c>
      <c r="H198" s="6">
        <v>18000</v>
      </c>
      <c r="I198" s="6">
        <v>90000</v>
      </c>
      <c r="J198" t="s">
        <v>64</v>
      </c>
      <c r="K198" t="s">
        <v>56</v>
      </c>
      <c r="L198" t="s">
        <v>87</v>
      </c>
    </row>
    <row r="199" spans="1:12" x14ac:dyDescent="0.25">
      <c r="A199">
        <v>10198</v>
      </c>
      <c r="B199" s="5">
        <v>46036</v>
      </c>
      <c r="C199" t="s">
        <v>72</v>
      </c>
      <c r="D199" t="s">
        <v>63</v>
      </c>
      <c r="E199" t="s">
        <v>51</v>
      </c>
      <c r="F199" t="s">
        <v>34</v>
      </c>
      <c r="G199">
        <v>5</v>
      </c>
      <c r="H199" s="6">
        <v>55000</v>
      </c>
      <c r="I199" s="6">
        <v>275000</v>
      </c>
      <c r="J199" t="s">
        <v>57</v>
      </c>
      <c r="K199" t="s">
        <v>40</v>
      </c>
      <c r="L199" t="s">
        <v>86</v>
      </c>
    </row>
    <row r="200" spans="1:12" x14ac:dyDescent="0.25">
      <c r="A200">
        <v>10199</v>
      </c>
      <c r="B200" s="5">
        <v>46095</v>
      </c>
      <c r="C200" t="s">
        <v>38</v>
      </c>
      <c r="D200" t="s">
        <v>47</v>
      </c>
      <c r="E200" t="s">
        <v>74</v>
      </c>
      <c r="F200" t="s">
        <v>33</v>
      </c>
      <c r="G200">
        <v>2</v>
      </c>
      <c r="H200" s="6">
        <v>220000</v>
      </c>
      <c r="I200" s="6">
        <v>440000</v>
      </c>
      <c r="J200" t="s">
        <v>57</v>
      </c>
      <c r="K200" t="s">
        <v>40</v>
      </c>
      <c r="L200" t="s">
        <v>84</v>
      </c>
    </row>
    <row r="201" spans="1:12" x14ac:dyDescent="0.25">
      <c r="A201">
        <v>10200</v>
      </c>
      <c r="B201" s="5">
        <v>46256</v>
      </c>
      <c r="C201" t="s">
        <v>46</v>
      </c>
      <c r="D201" t="s">
        <v>63</v>
      </c>
      <c r="E201" t="s">
        <v>66</v>
      </c>
      <c r="F201" t="s">
        <v>34</v>
      </c>
      <c r="G201">
        <v>2</v>
      </c>
      <c r="H201" s="6">
        <v>120000</v>
      </c>
      <c r="I201" s="6">
        <v>240000</v>
      </c>
      <c r="J201" t="s">
        <v>57</v>
      </c>
      <c r="K201" t="s">
        <v>56</v>
      </c>
      <c r="L201" t="s">
        <v>86</v>
      </c>
    </row>
    <row r="202" spans="1:12" x14ac:dyDescent="0.25">
      <c r="A202">
        <v>10201</v>
      </c>
      <c r="B202" s="5">
        <v>46151</v>
      </c>
      <c r="C202" t="s">
        <v>54</v>
      </c>
      <c r="D202" t="s">
        <v>47</v>
      </c>
      <c r="E202" t="s">
        <v>45</v>
      </c>
      <c r="F202" t="s">
        <v>36</v>
      </c>
      <c r="G202">
        <v>7</v>
      </c>
      <c r="H202" s="6">
        <v>140000</v>
      </c>
      <c r="I202" s="6">
        <v>980000</v>
      </c>
      <c r="J202" t="s">
        <v>64</v>
      </c>
      <c r="K202" t="s">
        <v>56</v>
      </c>
      <c r="L202" t="s">
        <v>87</v>
      </c>
    </row>
    <row r="203" spans="1:12" x14ac:dyDescent="0.25">
      <c r="A203">
        <v>10202</v>
      </c>
      <c r="B203" s="5">
        <v>46104</v>
      </c>
      <c r="C203" t="s">
        <v>38</v>
      </c>
      <c r="D203" t="s">
        <v>73</v>
      </c>
      <c r="E203" t="s">
        <v>52</v>
      </c>
      <c r="F203" t="s">
        <v>35</v>
      </c>
      <c r="G203">
        <v>1</v>
      </c>
      <c r="H203" s="6">
        <v>30000</v>
      </c>
      <c r="I203" s="6">
        <v>30000</v>
      </c>
      <c r="J203" t="s">
        <v>57</v>
      </c>
      <c r="K203" t="s">
        <v>48</v>
      </c>
      <c r="L203" t="s">
        <v>85</v>
      </c>
    </row>
    <row r="204" spans="1:12" x14ac:dyDescent="0.25">
      <c r="A204">
        <v>10203</v>
      </c>
      <c r="B204" s="5">
        <v>46257</v>
      </c>
      <c r="C204" t="s">
        <v>62</v>
      </c>
      <c r="D204" t="s">
        <v>73</v>
      </c>
      <c r="E204" t="s">
        <v>43</v>
      </c>
      <c r="F204" t="s">
        <v>34</v>
      </c>
      <c r="G204">
        <v>5</v>
      </c>
      <c r="H204" s="6">
        <v>35000</v>
      </c>
      <c r="I204" s="6">
        <v>175000</v>
      </c>
      <c r="J204" t="s">
        <v>49</v>
      </c>
      <c r="K204" t="s">
        <v>48</v>
      </c>
      <c r="L204" t="s">
        <v>86</v>
      </c>
    </row>
    <row r="205" spans="1:12" x14ac:dyDescent="0.25">
      <c r="A205">
        <v>10204</v>
      </c>
      <c r="B205" s="5">
        <v>46254</v>
      </c>
      <c r="C205" t="s">
        <v>38</v>
      </c>
      <c r="D205" t="s">
        <v>39</v>
      </c>
      <c r="E205" t="s">
        <v>68</v>
      </c>
      <c r="F205" t="s">
        <v>36</v>
      </c>
      <c r="G205">
        <v>1</v>
      </c>
      <c r="H205" s="6">
        <v>18000</v>
      </c>
      <c r="I205" s="6">
        <v>18000</v>
      </c>
      <c r="J205" t="s">
        <v>57</v>
      </c>
      <c r="K205" t="s">
        <v>40</v>
      </c>
      <c r="L205" t="s">
        <v>87</v>
      </c>
    </row>
    <row r="206" spans="1:12" x14ac:dyDescent="0.25">
      <c r="A206">
        <v>10205</v>
      </c>
      <c r="B206" s="5">
        <v>46221</v>
      </c>
      <c r="C206" t="s">
        <v>54</v>
      </c>
      <c r="D206" t="s">
        <v>47</v>
      </c>
      <c r="E206" t="s">
        <v>66</v>
      </c>
      <c r="F206" t="s">
        <v>34</v>
      </c>
      <c r="G206">
        <v>2</v>
      </c>
      <c r="H206" s="6">
        <v>120000</v>
      </c>
      <c r="I206" s="6">
        <v>240000</v>
      </c>
      <c r="J206" t="s">
        <v>57</v>
      </c>
      <c r="K206" t="s">
        <v>40</v>
      </c>
      <c r="L206" t="s">
        <v>86</v>
      </c>
    </row>
    <row r="207" spans="1:12" x14ac:dyDescent="0.25">
      <c r="A207">
        <v>10206</v>
      </c>
      <c r="B207" s="5">
        <v>46039</v>
      </c>
      <c r="C207" t="s">
        <v>38</v>
      </c>
      <c r="D207" t="s">
        <v>63</v>
      </c>
      <c r="E207" t="s">
        <v>66</v>
      </c>
      <c r="F207" t="s">
        <v>34</v>
      </c>
      <c r="G207">
        <v>8</v>
      </c>
      <c r="H207" s="6">
        <v>120000</v>
      </c>
      <c r="I207" s="6">
        <v>960000</v>
      </c>
      <c r="J207" t="s">
        <v>41</v>
      </c>
      <c r="K207" t="s">
        <v>40</v>
      </c>
      <c r="L207" t="s">
        <v>86</v>
      </c>
    </row>
    <row r="208" spans="1:12" x14ac:dyDescent="0.25">
      <c r="A208">
        <v>10207</v>
      </c>
      <c r="B208" s="5">
        <v>46132</v>
      </c>
      <c r="C208" t="s">
        <v>38</v>
      </c>
      <c r="D208" t="s">
        <v>70</v>
      </c>
      <c r="E208" t="s">
        <v>51</v>
      </c>
      <c r="F208" t="s">
        <v>34</v>
      </c>
      <c r="G208">
        <v>5</v>
      </c>
      <c r="H208" s="6">
        <v>55000</v>
      </c>
      <c r="I208" s="6">
        <v>275000</v>
      </c>
      <c r="J208" t="s">
        <v>57</v>
      </c>
      <c r="K208" t="s">
        <v>40</v>
      </c>
      <c r="L208" t="s">
        <v>86</v>
      </c>
    </row>
    <row r="209" spans="1:12" x14ac:dyDescent="0.25">
      <c r="A209">
        <v>10208</v>
      </c>
      <c r="B209" s="5">
        <v>46157</v>
      </c>
      <c r="C209" t="s">
        <v>54</v>
      </c>
      <c r="D209" t="s">
        <v>39</v>
      </c>
      <c r="E209" t="s">
        <v>53</v>
      </c>
      <c r="F209" t="s">
        <v>36</v>
      </c>
      <c r="G209">
        <v>2</v>
      </c>
      <c r="H209" s="6">
        <v>180000</v>
      </c>
      <c r="I209" s="6">
        <v>360000</v>
      </c>
      <c r="J209" t="s">
        <v>41</v>
      </c>
      <c r="K209" t="s">
        <v>40</v>
      </c>
      <c r="L209" t="s">
        <v>87</v>
      </c>
    </row>
    <row r="210" spans="1:12" x14ac:dyDescent="0.25">
      <c r="A210">
        <v>10209</v>
      </c>
      <c r="B210" s="5">
        <v>46118</v>
      </c>
      <c r="C210" t="s">
        <v>54</v>
      </c>
      <c r="D210" t="s">
        <v>73</v>
      </c>
      <c r="E210" t="s">
        <v>45</v>
      </c>
      <c r="F210" t="s">
        <v>36</v>
      </c>
      <c r="G210">
        <v>7</v>
      </c>
      <c r="H210" s="6">
        <v>140000</v>
      </c>
      <c r="I210" s="6">
        <v>980000</v>
      </c>
      <c r="J210" t="s">
        <v>41</v>
      </c>
      <c r="K210" t="s">
        <v>40</v>
      </c>
      <c r="L210" t="s">
        <v>87</v>
      </c>
    </row>
    <row r="211" spans="1:12" x14ac:dyDescent="0.25">
      <c r="A211">
        <v>10210</v>
      </c>
      <c r="B211" s="5">
        <v>46210</v>
      </c>
      <c r="C211" t="s">
        <v>72</v>
      </c>
      <c r="D211" t="s">
        <v>73</v>
      </c>
      <c r="E211" t="s">
        <v>58</v>
      </c>
      <c r="F211" t="s">
        <v>33</v>
      </c>
      <c r="G211">
        <v>4</v>
      </c>
      <c r="H211" s="6">
        <v>25000</v>
      </c>
      <c r="I211" s="6">
        <v>100000</v>
      </c>
      <c r="J211" t="s">
        <v>41</v>
      </c>
      <c r="K211" t="s">
        <v>48</v>
      </c>
      <c r="L211" t="s">
        <v>84</v>
      </c>
    </row>
    <row r="212" spans="1:12" x14ac:dyDescent="0.25">
      <c r="A212">
        <v>10211</v>
      </c>
      <c r="B212" s="5">
        <v>46113</v>
      </c>
      <c r="C212" t="s">
        <v>69</v>
      </c>
      <c r="D212" t="s">
        <v>55</v>
      </c>
      <c r="E212" t="s">
        <v>52</v>
      </c>
      <c r="F212" t="s">
        <v>35</v>
      </c>
      <c r="G212">
        <v>1</v>
      </c>
      <c r="H212" s="6">
        <v>30000</v>
      </c>
      <c r="I212" s="6">
        <v>30000</v>
      </c>
      <c r="J212" t="s">
        <v>49</v>
      </c>
      <c r="K212" t="s">
        <v>48</v>
      </c>
      <c r="L212" t="s">
        <v>85</v>
      </c>
    </row>
    <row r="213" spans="1:12" x14ac:dyDescent="0.25">
      <c r="A213">
        <v>10212</v>
      </c>
      <c r="B213" s="5">
        <v>46230</v>
      </c>
      <c r="C213" t="s">
        <v>46</v>
      </c>
      <c r="D213" t="s">
        <v>39</v>
      </c>
      <c r="E213" t="s">
        <v>68</v>
      </c>
      <c r="F213" t="s">
        <v>36</v>
      </c>
      <c r="G213">
        <v>3</v>
      </c>
      <c r="H213" s="6">
        <v>18000</v>
      </c>
      <c r="I213" s="6">
        <v>54000</v>
      </c>
      <c r="J213" t="s">
        <v>64</v>
      </c>
      <c r="K213" t="s">
        <v>40</v>
      </c>
      <c r="L213" t="s">
        <v>87</v>
      </c>
    </row>
    <row r="214" spans="1:12" x14ac:dyDescent="0.25">
      <c r="A214">
        <v>10213</v>
      </c>
      <c r="B214" s="5">
        <v>46249</v>
      </c>
      <c r="C214" t="s">
        <v>38</v>
      </c>
      <c r="D214" t="s">
        <v>55</v>
      </c>
      <c r="E214" t="s">
        <v>43</v>
      </c>
      <c r="F214" t="s">
        <v>34</v>
      </c>
      <c r="G214">
        <v>4</v>
      </c>
      <c r="H214" s="6">
        <v>35000</v>
      </c>
      <c r="I214" s="6">
        <v>140000</v>
      </c>
      <c r="J214" t="s">
        <v>57</v>
      </c>
      <c r="K214" t="s">
        <v>40</v>
      </c>
      <c r="L214" t="s">
        <v>86</v>
      </c>
    </row>
    <row r="215" spans="1:12" x14ac:dyDescent="0.25">
      <c r="A215">
        <v>10214</v>
      </c>
      <c r="B215" s="5">
        <v>46215</v>
      </c>
      <c r="C215" t="s">
        <v>72</v>
      </c>
      <c r="D215" t="s">
        <v>47</v>
      </c>
      <c r="E215" t="s">
        <v>61</v>
      </c>
      <c r="F215" t="s">
        <v>36</v>
      </c>
      <c r="G215">
        <v>1</v>
      </c>
      <c r="H215" s="6">
        <v>45000</v>
      </c>
      <c r="I215" s="6">
        <v>45000</v>
      </c>
      <c r="J215" t="s">
        <v>57</v>
      </c>
      <c r="K215" t="s">
        <v>40</v>
      </c>
      <c r="L215" t="s">
        <v>87</v>
      </c>
    </row>
    <row r="216" spans="1:12" x14ac:dyDescent="0.25">
      <c r="A216">
        <v>10215</v>
      </c>
      <c r="B216" s="5">
        <v>46092</v>
      </c>
      <c r="C216" t="s">
        <v>38</v>
      </c>
      <c r="D216" t="s">
        <v>55</v>
      </c>
      <c r="E216" t="s">
        <v>74</v>
      </c>
      <c r="F216" t="s">
        <v>33</v>
      </c>
      <c r="G216">
        <v>6</v>
      </c>
      <c r="H216" s="6">
        <v>220000</v>
      </c>
      <c r="I216" s="6">
        <v>1320000</v>
      </c>
      <c r="J216" t="s">
        <v>64</v>
      </c>
      <c r="K216" t="s">
        <v>48</v>
      </c>
      <c r="L216" t="s">
        <v>84</v>
      </c>
    </row>
    <row r="217" spans="1:12" x14ac:dyDescent="0.25">
      <c r="A217">
        <v>10216</v>
      </c>
      <c r="B217" s="5">
        <v>46070</v>
      </c>
      <c r="C217" t="s">
        <v>62</v>
      </c>
      <c r="D217" t="s">
        <v>73</v>
      </c>
      <c r="E217" t="s">
        <v>68</v>
      </c>
      <c r="F217" t="s">
        <v>36</v>
      </c>
      <c r="G217">
        <v>6</v>
      </c>
      <c r="H217" s="6">
        <v>18000</v>
      </c>
      <c r="I217" s="6">
        <v>108000</v>
      </c>
      <c r="J217" t="s">
        <v>64</v>
      </c>
      <c r="K217" t="s">
        <v>40</v>
      </c>
      <c r="L217" t="s">
        <v>87</v>
      </c>
    </row>
    <row r="218" spans="1:12" x14ac:dyDescent="0.25">
      <c r="A218">
        <v>10217</v>
      </c>
      <c r="B218" s="5">
        <v>46043</v>
      </c>
      <c r="C218" t="s">
        <v>62</v>
      </c>
      <c r="D218" t="s">
        <v>70</v>
      </c>
      <c r="E218" t="s">
        <v>44</v>
      </c>
      <c r="F218" t="s">
        <v>35</v>
      </c>
      <c r="G218">
        <v>7</v>
      </c>
      <c r="H218" s="6">
        <v>90000</v>
      </c>
      <c r="I218" s="6">
        <v>630000</v>
      </c>
      <c r="J218" t="s">
        <v>49</v>
      </c>
      <c r="K218" t="s">
        <v>40</v>
      </c>
      <c r="L218" t="s">
        <v>85</v>
      </c>
    </row>
    <row r="219" spans="1:12" x14ac:dyDescent="0.25">
      <c r="A219">
        <v>10218</v>
      </c>
      <c r="B219" s="5">
        <v>46106</v>
      </c>
      <c r="C219" t="s">
        <v>72</v>
      </c>
      <c r="D219" t="s">
        <v>55</v>
      </c>
      <c r="E219" t="s">
        <v>44</v>
      </c>
      <c r="F219" t="s">
        <v>35</v>
      </c>
      <c r="G219">
        <v>2</v>
      </c>
      <c r="H219" s="6">
        <v>90000</v>
      </c>
      <c r="I219" s="6">
        <v>180000</v>
      </c>
      <c r="J219" t="s">
        <v>57</v>
      </c>
      <c r="K219" t="s">
        <v>40</v>
      </c>
      <c r="L219" t="s">
        <v>85</v>
      </c>
    </row>
    <row r="220" spans="1:12" x14ac:dyDescent="0.25">
      <c r="A220">
        <v>10219</v>
      </c>
      <c r="B220" s="5">
        <v>46112</v>
      </c>
      <c r="C220" t="s">
        <v>62</v>
      </c>
      <c r="D220" t="s">
        <v>39</v>
      </c>
      <c r="E220" t="s">
        <v>53</v>
      </c>
      <c r="F220" t="s">
        <v>36</v>
      </c>
      <c r="G220">
        <v>8</v>
      </c>
      <c r="H220" s="6">
        <v>180000</v>
      </c>
      <c r="I220" s="6">
        <v>1440000</v>
      </c>
      <c r="J220" t="s">
        <v>57</v>
      </c>
      <c r="K220" t="s">
        <v>40</v>
      </c>
      <c r="L220" t="s">
        <v>87</v>
      </c>
    </row>
    <row r="221" spans="1:12" x14ac:dyDescent="0.25">
      <c r="A221">
        <v>10220</v>
      </c>
      <c r="B221" s="5">
        <v>46042</v>
      </c>
      <c r="C221" t="s">
        <v>72</v>
      </c>
      <c r="D221" t="s">
        <v>73</v>
      </c>
      <c r="E221" t="s">
        <v>61</v>
      </c>
      <c r="F221" t="s">
        <v>36</v>
      </c>
      <c r="G221">
        <v>1</v>
      </c>
      <c r="H221" s="6">
        <v>45000</v>
      </c>
      <c r="I221" s="6">
        <v>45000</v>
      </c>
      <c r="J221" t="s">
        <v>64</v>
      </c>
      <c r="K221" t="s">
        <v>40</v>
      </c>
      <c r="L221" t="s">
        <v>87</v>
      </c>
    </row>
    <row r="222" spans="1:12" x14ac:dyDescent="0.25">
      <c r="A222">
        <v>10221</v>
      </c>
      <c r="B222" s="5">
        <v>46240</v>
      </c>
      <c r="C222" t="s">
        <v>69</v>
      </c>
      <c r="D222" t="s">
        <v>73</v>
      </c>
      <c r="E222" t="s">
        <v>43</v>
      </c>
      <c r="F222" t="s">
        <v>34</v>
      </c>
      <c r="G222">
        <v>3</v>
      </c>
      <c r="H222" s="6">
        <v>35000</v>
      </c>
      <c r="I222" s="6">
        <v>105000</v>
      </c>
      <c r="J222" t="s">
        <v>64</v>
      </c>
      <c r="K222" t="s">
        <v>40</v>
      </c>
      <c r="L222" t="s">
        <v>86</v>
      </c>
    </row>
    <row r="223" spans="1:12" x14ac:dyDescent="0.25">
      <c r="A223">
        <v>10222</v>
      </c>
      <c r="B223" s="5">
        <v>46115</v>
      </c>
      <c r="C223" t="s">
        <v>62</v>
      </c>
      <c r="D223" t="s">
        <v>70</v>
      </c>
      <c r="E223" t="s">
        <v>50</v>
      </c>
      <c r="F223" t="s">
        <v>33</v>
      </c>
      <c r="G223">
        <v>6</v>
      </c>
      <c r="H223" s="6">
        <v>12000</v>
      </c>
      <c r="I223" s="6">
        <v>72000</v>
      </c>
      <c r="J223" t="s">
        <v>41</v>
      </c>
      <c r="K223" t="s">
        <v>40</v>
      </c>
      <c r="L223" t="s">
        <v>84</v>
      </c>
    </row>
    <row r="224" spans="1:12" x14ac:dyDescent="0.25">
      <c r="A224">
        <v>10223</v>
      </c>
      <c r="B224" s="5">
        <v>46136</v>
      </c>
      <c r="C224" t="s">
        <v>38</v>
      </c>
      <c r="D224" t="s">
        <v>70</v>
      </c>
      <c r="E224" t="s">
        <v>61</v>
      </c>
      <c r="F224" t="s">
        <v>36</v>
      </c>
      <c r="G224">
        <v>6</v>
      </c>
      <c r="H224" s="6">
        <v>45000</v>
      </c>
      <c r="I224" s="6">
        <v>270000</v>
      </c>
      <c r="J224" t="s">
        <v>49</v>
      </c>
      <c r="K224" t="s">
        <v>40</v>
      </c>
      <c r="L224" t="s">
        <v>87</v>
      </c>
    </row>
    <row r="225" spans="1:12" x14ac:dyDescent="0.25">
      <c r="A225">
        <v>10224</v>
      </c>
      <c r="B225" s="5">
        <v>46086</v>
      </c>
      <c r="C225" t="s">
        <v>38</v>
      </c>
      <c r="D225" t="s">
        <v>39</v>
      </c>
      <c r="E225" t="s">
        <v>61</v>
      </c>
      <c r="F225" t="s">
        <v>36</v>
      </c>
      <c r="G225">
        <v>5</v>
      </c>
      <c r="H225" s="6">
        <v>45000</v>
      </c>
      <c r="I225" s="6">
        <v>225000</v>
      </c>
      <c r="J225" t="s">
        <v>49</v>
      </c>
      <c r="K225" t="s">
        <v>40</v>
      </c>
      <c r="L225" t="s">
        <v>87</v>
      </c>
    </row>
    <row r="226" spans="1:12" x14ac:dyDescent="0.25">
      <c r="A226">
        <v>10225</v>
      </c>
      <c r="B226" s="5">
        <v>46221</v>
      </c>
      <c r="C226" t="s">
        <v>54</v>
      </c>
      <c r="D226" t="s">
        <v>73</v>
      </c>
      <c r="E226" t="s">
        <v>45</v>
      </c>
      <c r="F226" t="s">
        <v>36</v>
      </c>
      <c r="G226">
        <v>5</v>
      </c>
      <c r="H226" s="6">
        <v>140000</v>
      </c>
      <c r="I226" s="6">
        <v>700000</v>
      </c>
      <c r="J226" t="s">
        <v>64</v>
      </c>
      <c r="K226" t="s">
        <v>40</v>
      </c>
      <c r="L226" t="s">
        <v>87</v>
      </c>
    </row>
    <row r="227" spans="1:12" x14ac:dyDescent="0.25">
      <c r="A227">
        <v>10226</v>
      </c>
      <c r="B227" s="5">
        <v>46054</v>
      </c>
      <c r="C227" t="s">
        <v>46</v>
      </c>
      <c r="D227" t="s">
        <v>39</v>
      </c>
      <c r="E227" t="s">
        <v>67</v>
      </c>
      <c r="F227" t="s">
        <v>35</v>
      </c>
      <c r="G227">
        <v>4</v>
      </c>
      <c r="H227" s="6">
        <v>50000</v>
      </c>
      <c r="I227" s="6">
        <v>200000</v>
      </c>
      <c r="J227" t="s">
        <v>64</v>
      </c>
      <c r="K227" t="s">
        <v>40</v>
      </c>
      <c r="L227" t="s">
        <v>85</v>
      </c>
    </row>
    <row r="228" spans="1:12" x14ac:dyDescent="0.25">
      <c r="A228">
        <v>10227</v>
      </c>
      <c r="B228" s="5">
        <v>46193</v>
      </c>
      <c r="C228" t="s">
        <v>54</v>
      </c>
      <c r="D228" t="s">
        <v>73</v>
      </c>
      <c r="E228" t="s">
        <v>45</v>
      </c>
      <c r="F228" t="s">
        <v>36</v>
      </c>
      <c r="G228">
        <v>6</v>
      </c>
      <c r="H228" s="6">
        <v>140000</v>
      </c>
      <c r="I228" s="6">
        <v>840000</v>
      </c>
      <c r="J228" t="s">
        <v>41</v>
      </c>
      <c r="K228" t="s">
        <v>40</v>
      </c>
      <c r="L228" t="s">
        <v>87</v>
      </c>
    </row>
    <row r="229" spans="1:12" x14ac:dyDescent="0.25">
      <c r="A229">
        <v>10228</v>
      </c>
      <c r="B229" s="5">
        <v>46205</v>
      </c>
      <c r="C229" t="s">
        <v>72</v>
      </c>
      <c r="D229" t="s">
        <v>73</v>
      </c>
      <c r="E229" t="s">
        <v>60</v>
      </c>
      <c r="F229" t="s">
        <v>35</v>
      </c>
      <c r="G229">
        <v>3</v>
      </c>
      <c r="H229" s="6">
        <v>65000</v>
      </c>
      <c r="I229" s="6">
        <v>195000</v>
      </c>
      <c r="J229" t="s">
        <v>49</v>
      </c>
      <c r="K229" t="s">
        <v>48</v>
      </c>
      <c r="L229" t="s">
        <v>85</v>
      </c>
    </row>
    <row r="230" spans="1:12" x14ac:dyDescent="0.25">
      <c r="A230">
        <v>10229</v>
      </c>
      <c r="B230" s="5">
        <v>46225</v>
      </c>
      <c r="C230" t="s">
        <v>46</v>
      </c>
      <c r="D230" t="s">
        <v>47</v>
      </c>
      <c r="E230" t="s">
        <v>43</v>
      </c>
      <c r="F230" t="s">
        <v>34</v>
      </c>
      <c r="G230">
        <v>4</v>
      </c>
      <c r="H230" s="6">
        <v>35000</v>
      </c>
      <c r="I230" s="6">
        <v>140000</v>
      </c>
      <c r="J230" t="s">
        <v>64</v>
      </c>
      <c r="K230" t="s">
        <v>40</v>
      </c>
      <c r="L230" t="s">
        <v>86</v>
      </c>
    </row>
    <row r="231" spans="1:12" x14ac:dyDescent="0.25">
      <c r="A231">
        <v>10230</v>
      </c>
      <c r="B231" s="5">
        <v>46179</v>
      </c>
      <c r="C231" t="s">
        <v>38</v>
      </c>
      <c r="D231" t="s">
        <v>39</v>
      </c>
      <c r="E231" t="s">
        <v>67</v>
      </c>
      <c r="F231" t="s">
        <v>35</v>
      </c>
      <c r="G231">
        <v>3</v>
      </c>
      <c r="H231" s="6">
        <v>50000</v>
      </c>
      <c r="I231" s="6">
        <v>150000</v>
      </c>
      <c r="J231" t="s">
        <v>57</v>
      </c>
      <c r="K231" t="s">
        <v>40</v>
      </c>
      <c r="L231" t="s">
        <v>85</v>
      </c>
    </row>
    <row r="232" spans="1:12" x14ac:dyDescent="0.25">
      <c r="A232">
        <v>10231</v>
      </c>
      <c r="B232" s="5">
        <v>46233</v>
      </c>
      <c r="C232" t="s">
        <v>69</v>
      </c>
      <c r="D232" t="s">
        <v>39</v>
      </c>
      <c r="E232" t="s">
        <v>68</v>
      </c>
      <c r="F232" t="s">
        <v>36</v>
      </c>
      <c r="G232">
        <v>7</v>
      </c>
      <c r="H232" s="6">
        <v>18000</v>
      </c>
      <c r="I232" s="6">
        <v>126000</v>
      </c>
      <c r="J232" t="s">
        <v>49</v>
      </c>
      <c r="K232" t="s">
        <v>56</v>
      </c>
      <c r="L232" t="s">
        <v>87</v>
      </c>
    </row>
    <row r="233" spans="1:12" x14ac:dyDescent="0.25">
      <c r="A233">
        <v>10232</v>
      </c>
      <c r="B233" s="5">
        <v>46197</v>
      </c>
      <c r="C233" t="s">
        <v>69</v>
      </c>
      <c r="D233" t="s">
        <v>55</v>
      </c>
      <c r="E233" t="s">
        <v>65</v>
      </c>
      <c r="F233" t="s">
        <v>33</v>
      </c>
      <c r="G233">
        <v>8</v>
      </c>
      <c r="H233" s="6">
        <v>180000</v>
      </c>
      <c r="I233" s="6">
        <v>1440000</v>
      </c>
      <c r="J233" t="s">
        <v>49</v>
      </c>
      <c r="K233" t="s">
        <v>48</v>
      </c>
      <c r="L233" t="s">
        <v>84</v>
      </c>
    </row>
    <row r="234" spans="1:12" x14ac:dyDescent="0.25">
      <c r="A234">
        <v>10233</v>
      </c>
      <c r="B234" s="5">
        <v>46151</v>
      </c>
      <c r="C234" t="s">
        <v>38</v>
      </c>
      <c r="D234" t="s">
        <v>39</v>
      </c>
      <c r="E234" t="s">
        <v>51</v>
      </c>
      <c r="F234" t="s">
        <v>34</v>
      </c>
      <c r="G234">
        <v>7</v>
      </c>
      <c r="H234" s="6">
        <v>55000</v>
      </c>
      <c r="I234" s="6">
        <v>385000</v>
      </c>
      <c r="J234" t="s">
        <v>49</v>
      </c>
      <c r="K234" t="s">
        <v>40</v>
      </c>
      <c r="L234" t="s">
        <v>86</v>
      </c>
    </row>
    <row r="235" spans="1:12" x14ac:dyDescent="0.25">
      <c r="A235">
        <v>10234</v>
      </c>
      <c r="B235" s="5">
        <v>46111</v>
      </c>
      <c r="C235" t="s">
        <v>69</v>
      </c>
      <c r="D235" t="s">
        <v>55</v>
      </c>
      <c r="E235" t="s">
        <v>59</v>
      </c>
      <c r="F235" t="s">
        <v>34</v>
      </c>
      <c r="G235">
        <v>4</v>
      </c>
      <c r="H235" s="6">
        <v>70000</v>
      </c>
      <c r="I235" s="6">
        <v>280000</v>
      </c>
      <c r="J235" t="s">
        <v>41</v>
      </c>
      <c r="K235" t="s">
        <v>40</v>
      </c>
      <c r="L235" t="s">
        <v>86</v>
      </c>
    </row>
    <row r="236" spans="1:12" x14ac:dyDescent="0.25">
      <c r="A236">
        <v>10235</v>
      </c>
      <c r="B236" s="5">
        <v>46180</v>
      </c>
      <c r="C236" t="s">
        <v>69</v>
      </c>
      <c r="D236" t="s">
        <v>39</v>
      </c>
      <c r="E236" t="s">
        <v>52</v>
      </c>
      <c r="F236" t="s">
        <v>35</v>
      </c>
      <c r="G236">
        <v>5</v>
      </c>
      <c r="H236" s="6">
        <v>30000</v>
      </c>
      <c r="I236" s="6">
        <v>150000</v>
      </c>
      <c r="J236" t="s">
        <v>49</v>
      </c>
      <c r="K236" t="s">
        <v>40</v>
      </c>
      <c r="L236" t="s">
        <v>85</v>
      </c>
    </row>
    <row r="237" spans="1:12" x14ac:dyDescent="0.25">
      <c r="A237">
        <v>10236</v>
      </c>
      <c r="B237" s="5">
        <v>46238</v>
      </c>
      <c r="C237" t="s">
        <v>69</v>
      </c>
      <c r="D237" t="s">
        <v>39</v>
      </c>
      <c r="E237" t="s">
        <v>51</v>
      </c>
      <c r="F237" t="s">
        <v>34</v>
      </c>
      <c r="G237">
        <v>6</v>
      </c>
      <c r="H237" s="6">
        <v>55000</v>
      </c>
      <c r="I237" s="6">
        <v>330000</v>
      </c>
      <c r="J237" t="s">
        <v>41</v>
      </c>
      <c r="K237" t="s">
        <v>40</v>
      </c>
      <c r="L237" t="s">
        <v>86</v>
      </c>
    </row>
    <row r="238" spans="1:12" x14ac:dyDescent="0.25">
      <c r="A238">
        <v>10237</v>
      </c>
      <c r="B238" s="5">
        <v>46181</v>
      </c>
      <c r="C238" t="s">
        <v>72</v>
      </c>
      <c r="D238" t="s">
        <v>39</v>
      </c>
      <c r="E238" t="s">
        <v>52</v>
      </c>
      <c r="F238" t="s">
        <v>35</v>
      </c>
      <c r="G238">
        <v>7</v>
      </c>
      <c r="H238" s="6">
        <v>30000</v>
      </c>
      <c r="I238" s="6">
        <v>210000</v>
      </c>
      <c r="J238" t="s">
        <v>64</v>
      </c>
      <c r="K238" t="s">
        <v>48</v>
      </c>
      <c r="L238" t="s">
        <v>85</v>
      </c>
    </row>
    <row r="239" spans="1:12" x14ac:dyDescent="0.25">
      <c r="A239">
        <v>10238</v>
      </c>
      <c r="B239" s="5">
        <v>46085</v>
      </c>
      <c r="C239" t="s">
        <v>72</v>
      </c>
      <c r="D239" t="s">
        <v>63</v>
      </c>
      <c r="E239" t="s">
        <v>60</v>
      </c>
      <c r="F239" t="s">
        <v>35</v>
      </c>
      <c r="G239">
        <v>8</v>
      </c>
      <c r="H239" s="6">
        <v>65000</v>
      </c>
      <c r="I239" s="6">
        <v>520000</v>
      </c>
      <c r="J239" t="s">
        <v>57</v>
      </c>
      <c r="K239" t="s">
        <v>40</v>
      </c>
      <c r="L239" t="s">
        <v>85</v>
      </c>
    </row>
    <row r="240" spans="1:12" x14ac:dyDescent="0.25">
      <c r="A240">
        <v>10239</v>
      </c>
      <c r="B240" s="5">
        <v>46129</v>
      </c>
      <c r="C240" t="s">
        <v>62</v>
      </c>
      <c r="D240" t="s">
        <v>63</v>
      </c>
      <c r="E240" t="s">
        <v>50</v>
      </c>
      <c r="F240" t="s">
        <v>33</v>
      </c>
      <c r="G240">
        <v>8</v>
      </c>
      <c r="H240" s="6">
        <v>12000</v>
      </c>
      <c r="I240" s="6">
        <v>96000</v>
      </c>
      <c r="J240" t="s">
        <v>49</v>
      </c>
      <c r="K240" t="s">
        <v>40</v>
      </c>
      <c r="L240" t="s">
        <v>84</v>
      </c>
    </row>
    <row r="241" spans="1:12" x14ac:dyDescent="0.25">
      <c r="A241">
        <v>10240</v>
      </c>
      <c r="B241" s="5">
        <v>46210</v>
      </c>
      <c r="C241" t="s">
        <v>54</v>
      </c>
      <c r="D241" t="s">
        <v>63</v>
      </c>
      <c r="E241" t="s">
        <v>59</v>
      </c>
      <c r="F241" t="s">
        <v>34</v>
      </c>
      <c r="G241">
        <v>6</v>
      </c>
      <c r="H241" s="6">
        <v>70000</v>
      </c>
      <c r="I241" s="6">
        <v>420000</v>
      </c>
      <c r="J241" t="s">
        <v>49</v>
      </c>
      <c r="K241" t="s">
        <v>48</v>
      </c>
      <c r="L241" t="s">
        <v>86</v>
      </c>
    </row>
    <row r="242" spans="1:12" x14ac:dyDescent="0.25">
      <c r="A242">
        <v>10241</v>
      </c>
      <c r="B242" s="5">
        <v>46142</v>
      </c>
      <c r="C242" t="s">
        <v>38</v>
      </c>
      <c r="D242" t="s">
        <v>55</v>
      </c>
      <c r="E242" t="s">
        <v>58</v>
      </c>
      <c r="F242" t="s">
        <v>33</v>
      </c>
      <c r="G242">
        <v>4</v>
      </c>
      <c r="H242" s="6">
        <v>25000</v>
      </c>
      <c r="I242" s="6">
        <v>100000</v>
      </c>
      <c r="J242" t="s">
        <v>64</v>
      </c>
      <c r="K242" t="s">
        <v>40</v>
      </c>
      <c r="L242" t="s">
        <v>84</v>
      </c>
    </row>
    <row r="243" spans="1:12" x14ac:dyDescent="0.25">
      <c r="A243">
        <v>10242</v>
      </c>
      <c r="B243" s="5">
        <v>46121</v>
      </c>
      <c r="C243" t="s">
        <v>69</v>
      </c>
      <c r="D243" t="s">
        <v>63</v>
      </c>
      <c r="E243" t="s">
        <v>42</v>
      </c>
      <c r="F243" t="s">
        <v>33</v>
      </c>
      <c r="G243">
        <v>5</v>
      </c>
      <c r="H243" s="6">
        <v>650000</v>
      </c>
      <c r="I243" s="6">
        <v>3250000</v>
      </c>
      <c r="J243" t="s">
        <v>49</v>
      </c>
      <c r="K243" t="s">
        <v>56</v>
      </c>
      <c r="L243" t="s">
        <v>84</v>
      </c>
    </row>
    <row r="244" spans="1:12" x14ac:dyDescent="0.25">
      <c r="A244">
        <v>10243</v>
      </c>
      <c r="B244" s="5">
        <v>46071</v>
      </c>
      <c r="C244" t="s">
        <v>46</v>
      </c>
      <c r="D244" t="s">
        <v>63</v>
      </c>
      <c r="E244" t="s">
        <v>59</v>
      </c>
      <c r="F244" t="s">
        <v>34</v>
      </c>
      <c r="G244">
        <v>6</v>
      </c>
      <c r="H244" s="6">
        <v>70000</v>
      </c>
      <c r="I244" s="6">
        <v>420000</v>
      </c>
      <c r="J244" t="s">
        <v>64</v>
      </c>
      <c r="K244" t="s">
        <v>40</v>
      </c>
      <c r="L244" t="s">
        <v>86</v>
      </c>
    </row>
    <row r="245" spans="1:12" x14ac:dyDescent="0.25">
      <c r="A245">
        <v>10244</v>
      </c>
      <c r="B245" s="5">
        <v>46046</v>
      </c>
      <c r="C245" t="s">
        <v>62</v>
      </c>
      <c r="D245" t="s">
        <v>70</v>
      </c>
      <c r="E245" t="s">
        <v>67</v>
      </c>
      <c r="F245" t="s">
        <v>35</v>
      </c>
      <c r="G245">
        <v>1</v>
      </c>
      <c r="H245" s="6">
        <v>50000</v>
      </c>
      <c r="I245" s="6">
        <v>50000</v>
      </c>
      <c r="J245" t="s">
        <v>64</v>
      </c>
      <c r="K245" t="s">
        <v>56</v>
      </c>
      <c r="L245" t="s">
        <v>85</v>
      </c>
    </row>
    <row r="246" spans="1:12" x14ac:dyDescent="0.25">
      <c r="A246">
        <v>10245</v>
      </c>
      <c r="B246" s="5">
        <v>46035</v>
      </c>
      <c r="C246" t="s">
        <v>54</v>
      </c>
      <c r="D246" t="s">
        <v>63</v>
      </c>
      <c r="E246" t="s">
        <v>59</v>
      </c>
      <c r="F246" t="s">
        <v>34</v>
      </c>
      <c r="G246">
        <v>1</v>
      </c>
      <c r="H246" s="6">
        <v>70000</v>
      </c>
      <c r="I246" s="6">
        <v>70000</v>
      </c>
      <c r="J246" t="s">
        <v>64</v>
      </c>
      <c r="K246" t="s">
        <v>40</v>
      </c>
      <c r="L246" t="s">
        <v>86</v>
      </c>
    </row>
    <row r="247" spans="1:12" x14ac:dyDescent="0.25">
      <c r="A247">
        <v>10246</v>
      </c>
      <c r="B247" s="5">
        <v>46057</v>
      </c>
      <c r="C247" t="s">
        <v>54</v>
      </c>
      <c r="D247" t="s">
        <v>73</v>
      </c>
      <c r="E247" t="s">
        <v>42</v>
      </c>
      <c r="F247" t="s">
        <v>33</v>
      </c>
      <c r="G247">
        <v>7</v>
      </c>
      <c r="H247" s="6">
        <v>650000</v>
      </c>
      <c r="I247" s="6">
        <v>4550000</v>
      </c>
      <c r="J247" t="s">
        <v>57</v>
      </c>
      <c r="K247" t="s">
        <v>48</v>
      </c>
      <c r="L247" t="s">
        <v>84</v>
      </c>
    </row>
    <row r="248" spans="1:12" x14ac:dyDescent="0.25">
      <c r="A248">
        <v>10247</v>
      </c>
      <c r="B248" s="5">
        <v>46036</v>
      </c>
      <c r="C248" t="s">
        <v>69</v>
      </c>
      <c r="D248" t="s">
        <v>70</v>
      </c>
      <c r="E248" t="s">
        <v>44</v>
      </c>
      <c r="F248" t="s">
        <v>35</v>
      </c>
      <c r="G248">
        <v>7</v>
      </c>
      <c r="H248" s="6">
        <v>90000</v>
      </c>
      <c r="I248" s="6">
        <v>630000</v>
      </c>
      <c r="J248" t="s">
        <v>49</v>
      </c>
      <c r="K248" t="s">
        <v>40</v>
      </c>
      <c r="L248" t="s">
        <v>85</v>
      </c>
    </row>
    <row r="249" spans="1:12" x14ac:dyDescent="0.25">
      <c r="A249">
        <v>10248</v>
      </c>
      <c r="B249" s="5">
        <v>46152</v>
      </c>
      <c r="C249" t="s">
        <v>62</v>
      </c>
      <c r="D249" t="s">
        <v>70</v>
      </c>
      <c r="E249" t="s">
        <v>44</v>
      </c>
      <c r="F249" t="s">
        <v>35</v>
      </c>
      <c r="G249">
        <v>7</v>
      </c>
      <c r="H249" s="6">
        <v>90000</v>
      </c>
      <c r="I249" s="6">
        <v>630000</v>
      </c>
      <c r="J249" t="s">
        <v>57</v>
      </c>
      <c r="K249" t="s">
        <v>48</v>
      </c>
      <c r="L249" t="s">
        <v>85</v>
      </c>
    </row>
    <row r="250" spans="1:12" x14ac:dyDescent="0.25">
      <c r="A250">
        <v>10249</v>
      </c>
      <c r="B250" s="5">
        <v>46123</v>
      </c>
      <c r="C250" t="s">
        <v>54</v>
      </c>
      <c r="D250" t="s">
        <v>55</v>
      </c>
      <c r="E250" t="s">
        <v>50</v>
      </c>
      <c r="F250" t="s">
        <v>33</v>
      </c>
      <c r="G250">
        <v>2</v>
      </c>
      <c r="H250" s="6">
        <v>12000</v>
      </c>
      <c r="I250" s="6">
        <v>24000</v>
      </c>
      <c r="J250" t="s">
        <v>57</v>
      </c>
      <c r="K250" t="s">
        <v>48</v>
      </c>
      <c r="L250" t="s">
        <v>84</v>
      </c>
    </row>
    <row r="251" spans="1:12" x14ac:dyDescent="0.25">
      <c r="A251">
        <v>10250</v>
      </c>
      <c r="B251" s="5">
        <v>46034</v>
      </c>
      <c r="C251" t="s">
        <v>38</v>
      </c>
      <c r="D251" t="s">
        <v>47</v>
      </c>
      <c r="E251" t="s">
        <v>66</v>
      </c>
      <c r="F251" t="s">
        <v>34</v>
      </c>
      <c r="G251">
        <v>1</v>
      </c>
      <c r="H251" s="6">
        <v>120000</v>
      </c>
      <c r="I251" s="6">
        <v>120000</v>
      </c>
      <c r="J251" t="s">
        <v>57</v>
      </c>
      <c r="K251" t="s">
        <v>48</v>
      </c>
      <c r="L251" t="s">
        <v>86</v>
      </c>
    </row>
    <row r="252" spans="1:12" x14ac:dyDescent="0.25">
      <c r="A252">
        <v>10251</v>
      </c>
      <c r="B252" s="5">
        <v>46106</v>
      </c>
      <c r="C252" t="s">
        <v>69</v>
      </c>
      <c r="D252" t="s">
        <v>55</v>
      </c>
      <c r="E252" t="s">
        <v>53</v>
      </c>
      <c r="F252" t="s">
        <v>36</v>
      </c>
      <c r="G252">
        <v>3</v>
      </c>
      <c r="H252" s="6">
        <v>180000</v>
      </c>
      <c r="I252" s="6">
        <v>540000</v>
      </c>
      <c r="J252" t="s">
        <v>49</v>
      </c>
      <c r="K252" t="s">
        <v>40</v>
      </c>
      <c r="L252" t="s">
        <v>87</v>
      </c>
    </row>
    <row r="253" spans="1:12" x14ac:dyDescent="0.25">
      <c r="A253">
        <v>10252</v>
      </c>
      <c r="B253" s="5">
        <v>46204</v>
      </c>
      <c r="C253" t="s">
        <v>69</v>
      </c>
      <c r="D253" t="s">
        <v>55</v>
      </c>
      <c r="E253" t="s">
        <v>60</v>
      </c>
      <c r="F253" t="s">
        <v>35</v>
      </c>
      <c r="G253">
        <v>8</v>
      </c>
      <c r="H253" s="6">
        <v>65000</v>
      </c>
      <c r="I253" s="6">
        <v>520000</v>
      </c>
      <c r="J253" t="s">
        <v>64</v>
      </c>
      <c r="K253" t="s">
        <v>48</v>
      </c>
      <c r="L253" t="s">
        <v>85</v>
      </c>
    </row>
    <row r="254" spans="1:12" x14ac:dyDescent="0.25">
      <c r="A254">
        <v>10253</v>
      </c>
      <c r="B254" s="5">
        <v>46129</v>
      </c>
      <c r="C254" t="s">
        <v>69</v>
      </c>
      <c r="D254" t="s">
        <v>55</v>
      </c>
      <c r="E254" t="s">
        <v>60</v>
      </c>
      <c r="F254" t="s">
        <v>35</v>
      </c>
      <c r="G254">
        <v>2</v>
      </c>
      <c r="H254" s="6">
        <v>65000</v>
      </c>
      <c r="I254" s="6">
        <v>130000</v>
      </c>
      <c r="J254" t="s">
        <v>41</v>
      </c>
      <c r="K254" t="s">
        <v>40</v>
      </c>
      <c r="L254" t="s">
        <v>85</v>
      </c>
    </row>
    <row r="255" spans="1:12" x14ac:dyDescent="0.25">
      <c r="A255">
        <v>10254</v>
      </c>
      <c r="B255" s="5">
        <v>46172</v>
      </c>
      <c r="C255" t="s">
        <v>62</v>
      </c>
      <c r="D255" t="s">
        <v>47</v>
      </c>
      <c r="E255" t="s">
        <v>52</v>
      </c>
      <c r="F255" t="s">
        <v>35</v>
      </c>
      <c r="G255">
        <v>1</v>
      </c>
      <c r="H255" s="6">
        <v>30000</v>
      </c>
      <c r="I255" s="6">
        <v>30000</v>
      </c>
      <c r="J255" t="s">
        <v>64</v>
      </c>
      <c r="K255" t="s">
        <v>40</v>
      </c>
      <c r="L255" t="s">
        <v>85</v>
      </c>
    </row>
    <row r="256" spans="1:12" x14ac:dyDescent="0.25">
      <c r="A256">
        <v>10255</v>
      </c>
      <c r="B256" s="5">
        <v>46071</v>
      </c>
      <c r="C256" t="s">
        <v>38</v>
      </c>
      <c r="D256" t="s">
        <v>63</v>
      </c>
      <c r="E256" t="s">
        <v>43</v>
      </c>
      <c r="F256" t="s">
        <v>34</v>
      </c>
      <c r="G256">
        <v>2</v>
      </c>
      <c r="H256" s="6">
        <v>35000</v>
      </c>
      <c r="I256" s="6">
        <v>70000</v>
      </c>
      <c r="J256" t="s">
        <v>57</v>
      </c>
      <c r="K256" t="s">
        <v>40</v>
      </c>
      <c r="L256" t="s">
        <v>86</v>
      </c>
    </row>
    <row r="257" spans="1:12" x14ac:dyDescent="0.25">
      <c r="A257">
        <v>10256</v>
      </c>
      <c r="B257" s="5">
        <v>46151</v>
      </c>
      <c r="C257" t="s">
        <v>69</v>
      </c>
      <c r="D257" t="s">
        <v>63</v>
      </c>
      <c r="E257" t="s">
        <v>53</v>
      </c>
      <c r="F257" t="s">
        <v>36</v>
      </c>
      <c r="G257">
        <v>7</v>
      </c>
      <c r="H257" s="6">
        <v>180000</v>
      </c>
      <c r="I257" s="6">
        <v>1260000</v>
      </c>
      <c r="J257" t="s">
        <v>41</v>
      </c>
      <c r="K257" t="s">
        <v>40</v>
      </c>
      <c r="L257" t="s">
        <v>87</v>
      </c>
    </row>
    <row r="258" spans="1:12" x14ac:dyDescent="0.25">
      <c r="A258">
        <v>10257</v>
      </c>
      <c r="B258" s="5">
        <v>46157</v>
      </c>
      <c r="C258" t="s">
        <v>62</v>
      </c>
      <c r="D258" t="s">
        <v>55</v>
      </c>
      <c r="E258" t="s">
        <v>59</v>
      </c>
      <c r="F258" t="s">
        <v>34</v>
      </c>
      <c r="G258">
        <v>8</v>
      </c>
      <c r="H258" s="6">
        <v>70000</v>
      </c>
      <c r="I258" s="6">
        <v>560000</v>
      </c>
      <c r="J258" t="s">
        <v>49</v>
      </c>
      <c r="K258" t="s">
        <v>40</v>
      </c>
      <c r="L258" t="s">
        <v>86</v>
      </c>
    </row>
    <row r="259" spans="1:12" x14ac:dyDescent="0.25">
      <c r="A259">
        <v>10258</v>
      </c>
      <c r="B259" s="5">
        <v>46179</v>
      </c>
      <c r="C259" t="s">
        <v>62</v>
      </c>
      <c r="D259" t="s">
        <v>47</v>
      </c>
      <c r="E259" t="s">
        <v>60</v>
      </c>
      <c r="F259" t="s">
        <v>35</v>
      </c>
      <c r="G259">
        <v>5</v>
      </c>
      <c r="H259" s="6">
        <v>65000</v>
      </c>
      <c r="I259" s="6">
        <v>325000</v>
      </c>
      <c r="J259" t="s">
        <v>49</v>
      </c>
      <c r="K259" t="s">
        <v>40</v>
      </c>
      <c r="L259" t="s">
        <v>85</v>
      </c>
    </row>
    <row r="260" spans="1:12" x14ac:dyDescent="0.25">
      <c r="A260">
        <v>10259</v>
      </c>
      <c r="B260" s="5">
        <v>46220</v>
      </c>
      <c r="C260" t="s">
        <v>54</v>
      </c>
      <c r="D260" t="s">
        <v>73</v>
      </c>
      <c r="E260" t="s">
        <v>52</v>
      </c>
      <c r="F260" t="s">
        <v>35</v>
      </c>
      <c r="G260">
        <v>5</v>
      </c>
      <c r="H260" s="6">
        <v>30000</v>
      </c>
      <c r="I260" s="6">
        <v>150000</v>
      </c>
      <c r="J260" t="s">
        <v>49</v>
      </c>
      <c r="K260" t="s">
        <v>40</v>
      </c>
      <c r="L260" t="s">
        <v>85</v>
      </c>
    </row>
    <row r="261" spans="1:12" x14ac:dyDescent="0.25">
      <c r="A261">
        <v>10260</v>
      </c>
      <c r="B261" s="5">
        <v>46112</v>
      </c>
      <c r="C261" t="s">
        <v>69</v>
      </c>
      <c r="D261" t="s">
        <v>73</v>
      </c>
      <c r="E261" t="s">
        <v>61</v>
      </c>
      <c r="F261" t="s">
        <v>36</v>
      </c>
      <c r="G261">
        <v>8</v>
      </c>
      <c r="H261" s="6">
        <v>45000</v>
      </c>
      <c r="I261" s="6">
        <v>360000</v>
      </c>
      <c r="J261" t="s">
        <v>57</v>
      </c>
      <c r="K261" t="s">
        <v>40</v>
      </c>
      <c r="L261" t="s">
        <v>87</v>
      </c>
    </row>
    <row r="262" spans="1:12" x14ac:dyDescent="0.25">
      <c r="A262">
        <v>10261</v>
      </c>
      <c r="B262" s="5">
        <v>46220</v>
      </c>
      <c r="C262" t="s">
        <v>46</v>
      </c>
      <c r="D262" t="s">
        <v>55</v>
      </c>
      <c r="E262" t="s">
        <v>68</v>
      </c>
      <c r="F262" t="s">
        <v>36</v>
      </c>
      <c r="G262">
        <v>6</v>
      </c>
      <c r="H262" s="6">
        <v>18000</v>
      </c>
      <c r="I262" s="6">
        <v>108000</v>
      </c>
      <c r="J262" t="s">
        <v>41</v>
      </c>
      <c r="K262" t="s">
        <v>40</v>
      </c>
      <c r="L262" t="s">
        <v>87</v>
      </c>
    </row>
    <row r="263" spans="1:12" x14ac:dyDescent="0.25">
      <c r="A263">
        <v>10262</v>
      </c>
      <c r="B263" s="5">
        <v>46190</v>
      </c>
      <c r="C263" t="s">
        <v>54</v>
      </c>
      <c r="D263" t="s">
        <v>73</v>
      </c>
      <c r="E263" t="s">
        <v>58</v>
      </c>
      <c r="F263" t="s">
        <v>33</v>
      </c>
      <c r="G263">
        <v>8</v>
      </c>
      <c r="H263" s="6">
        <v>25000</v>
      </c>
      <c r="I263" s="6">
        <v>200000</v>
      </c>
      <c r="J263" t="s">
        <v>64</v>
      </c>
      <c r="K263" t="s">
        <v>40</v>
      </c>
      <c r="L263" t="s">
        <v>84</v>
      </c>
    </row>
    <row r="264" spans="1:12" x14ac:dyDescent="0.25">
      <c r="A264">
        <v>10263</v>
      </c>
      <c r="B264" s="5">
        <v>46050</v>
      </c>
      <c r="C264" t="s">
        <v>69</v>
      </c>
      <c r="D264" t="s">
        <v>73</v>
      </c>
      <c r="E264" t="s">
        <v>60</v>
      </c>
      <c r="F264" t="s">
        <v>35</v>
      </c>
      <c r="G264">
        <v>3</v>
      </c>
      <c r="H264" s="6">
        <v>65000</v>
      </c>
      <c r="I264" s="6">
        <v>195000</v>
      </c>
      <c r="J264" t="s">
        <v>49</v>
      </c>
      <c r="K264" t="s">
        <v>40</v>
      </c>
      <c r="L264" t="s">
        <v>85</v>
      </c>
    </row>
    <row r="265" spans="1:12" x14ac:dyDescent="0.25">
      <c r="A265">
        <v>10264</v>
      </c>
      <c r="B265" s="5">
        <v>46048</v>
      </c>
      <c r="C265" t="s">
        <v>62</v>
      </c>
      <c r="D265" t="s">
        <v>55</v>
      </c>
      <c r="E265" t="s">
        <v>51</v>
      </c>
      <c r="F265" t="s">
        <v>34</v>
      </c>
      <c r="G265">
        <v>1</v>
      </c>
      <c r="H265" s="6">
        <v>55000</v>
      </c>
      <c r="I265" s="6">
        <v>55000</v>
      </c>
      <c r="J265" t="s">
        <v>64</v>
      </c>
      <c r="K265" t="s">
        <v>40</v>
      </c>
      <c r="L265" t="s">
        <v>86</v>
      </c>
    </row>
    <row r="266" spans="1:12" x14ac:dyDescent="0.25">
      <c r="A266">
        <v>10265</v>
      </c>
      <c r="B266" s="5">
        <v>46127</v>
      </c>
      <c r="C266" t="s">
        <v>72</v>
      </c>
      <c r="D266" t="s">
        <v>63</v>
      </c>
      <c r="E266" t="s">
        <v>43</v>
      </c>
      <c r="F266" t="s">
        <v>34</v>
      </c>
      <c r="G266">
        <v>3</v>
      </c>
      <c r="H266" s="6">
        <v>35000</v>
      </c>
      <c r="I266" s="6">
        <v>105000</v>
      </c>
      <c r="J266" t="s">
        <v>64</v>
      </c>
      <c r="K266" t="s">
        <v>40</v>
      </c>
      <c r="L266" t="s">
        <v>86</v>
      </c>
    </row>
    <row r="267" spans="1:12" x14ac:dyDescent="0.25">
      <c r="A267">
        <v>10266</v>
      </c>
      <c r="B267" s="5">
        <v>46188</v>
      </c>
      <c r="C267" t="s">
        <v>38</v>
      </c>
      <c r="D267" t="s">
        <v>39</v>
      </c>
      <c r="E267" t="s">
        <v>60</v>
      </c>
      <c r="F267" t="s">
        <v>35</v>
      </c>
      <c r="G267">
        <v>5</v>
      </c>
      <c r="H267" s="6">
        <v>65000</v>
      </c>
      <c r="I267" s="6">
        <v>325000</v>
      </c>
      <c r="J267" t="s">
        <v>49</v>
      </c>
      <c r="K267" t="s">
        <v>40</v>
      </c>
      <c r="L267" t="s">
        <v>85</v>
      </c>
    </row>
    <row r="268" spans="1:12" x14ac:dyDescent="0.25">
      <c r="A268">
        <v>10267</v>
      </c>
      <c r="B268" s="5">
        <v>46248</v>
      </c>
      <c r="C268" t="s">
        <v>46</v>
      </c>
      <c r="D268" t="s">
        <v>39</v>
      </c>
      <c r="E268" t="s">
        <v>50</v>
      </c>
      <c r="F268" t="s">
        <v>33</v>
      </c>
      <c r="G268">
        <v>7</v>
      </c>
      <c r="H268" s="6">
        <v>12000</v>
      </c>
      <c r="I268" s="6">
        <v>84000</v>
      </c>
      <c r="J268" t="s">
        <v>64</v>
      </c>
      <c r="K268" t="s">
        <v>48</v>
      </c>
      <c r="L268" t="s">
        <v>84</v>
      </c>
    </row>
    <row r="269" spans="1:12" x14ac:dyDescent="0.25">
      <c r="A269">
        <v>10268</v>
      </c>
      <c r="B269" s="5">
        <v>46025</v>
      </c>
      <c r="C269" t="s">
        <v>54</v>
      </c>
      <c r="D269" t="s">
        <v>70</v>
      </c>
      <c r="E269" t="s">
        <v>59</v>
      </c>
      <c r="F269" t="s">
        <v>34</v>
      </c>
      <c r="G269">
        <v>1</v>
      </c>
      <c r="H269" s="6">
        <v>70000</v>
      </c>
      <c r="I269" s="6">
        <v>70000</v>
      </c>
      <c r="J269" t="s">
        <v>41</v>
      </c>
      <c r="K269" t="s">
        <v>48</v>
      </c>
      <c r="L269" t="s">
        <v>86</v>
      </c>
    </row>
    <row r="270" spans="1:12" x14ac:dyDescent="0.25">
      <c r="A270">
        <v>10269</v>
      </c>
      <c r="B270" s="5">
        <v>46187</v>
      </c>
      <c r="C270" t="s">
        <v>69</v>
      </c>
      <c r="D270" t="s">
        <v>70</v>
      </c>
      <c r="E270" t="s">
        <v>60</v>
      </c>
      <c r="F270" t="s">
        <v>35</v>
      </c>
      <c r="G270">
        <v>8</v>
      </c>
      <c r="H270" s="6">
        <v>65000</v>
      </c>
      <c r="I270" s="6">
        <v>520000</v>
      </c>
      <c r="J270" t="s">
        <v>64</v>
      </c>
      <c r="K270" t="s">
        <v>48</v>
      </c>
      <c r="L270" t="s">
        <v>85</v>
      </c>
    </row>
    <row r="271" spans="1:12" x14ac:dyDescent="0.25">
      <c r="A271">
        <v>10270</v>
      </c>
      <c r="B271" s="5">
        <v>46072</v>
      </c>
      <c r="C271" t="s">
        <v>38</v>
      </c>
      <c r="D271" t="s">
        <v>55</v>
      </c>
      <c r="E271" t="s">
        <v>66</v>
      </c>
      <c r="F271" t="s">
        <v>34</v>
      </c>
      <c r="G271">
        <v>5</v>
      </c>
      <c r="H271" s="6">
        <v>120000</v>
      </c>
      <c r="I271" s="6">
        <v>600000</v>
      </c>
      <c r="J271" t="s">
        <v>49</v>
      </c>
      <c r="K271" t="s">
        <v>40</v>
      </c>
      <c r="L271" t="s">
        <v>86</v>
      </c>
    </row>
    <row r="272" spans="1:12" x14ac:dyDescent="0.25">
      <c r="A272">
        <v>10271</v>
      </c>
      <c r="B272" s="5">
        <v>46211</v>
      </c>
      <c r="C272" t="s">
        <v>54</v>
      </c>
      <c r="D272" t="s">
        <v>55</v>
      </c>
      <c r="E272" t="s">
        <v>52</v>
      </c>
      <c r="F272" t="s">
        <v>35</v>
      </c>
      <c r="G272">
        <v>1</v>
      </c>
      <c r="H272" s="6">
        <v>30000</v>
      </c>
      <c r="I272" s="6">
        <v>30000</v>
      </c>
      <c r="J272" t="s">
        <v>49</v>
      </c>
      <c r="K272" t="s">
        <v>40</v>
      </c>
      <c r="L272" t="s">
        <v>85</v>
      </c>
    </row>
    <row r="273" spans="1:12" x14ac:dyDescent="0.25">
      <c r="A273">
        <v>10272</v>
      </c>
      <c r="B273" s="5">
        <v>46045</v>
      </c>
      <c r="C273" t="s">
        <v>62</v>
      </c>
      <c r="D273" t="s">
        <v>73</v>
      </c>
      <c r="E273" t="s">
        <v>68</v>
      </c>
      <c r="F273" t="s">
        <v>36</v>
      </c>
      <c r="G273">
        <v>6</v>
      </c>
      <c r="H273" s="6">
        <v>18000</v>
      </c>
      <c r="I273" s="6">
        <v>108000</v>
      </c>
      <c r="J273" t="s">
        <v>41</v>
      </c>
      <c r="K273" t="s">
        <v>40</v>
      </c>
      <c r="L273" t="s">
        <v>87</v>
      </c>
    </row>
    <row r="274" spans="1:12" x14ac:dyDescent="0.25">
      <c r="A274">
        <v>10273</v>
      </c>
      <c r="B274" s="5">
        <v>46262</v>
      </c>
      <c r="C274" t="s">
        <v>46</v>
      </c>
      <c r="D274" t="s">
        <v>39</v>
      </c>
      <c r="E274" t="s">
        <v>66</v>
      </c>
      <c r="F274" t="s">
        <v>34</v>
      </c>
      <c r="G274">
        <v>6</v>
      </c>
      <c r="H274" s="6">
        <v>120000</v>
      </c>
      <c r="I274" s="6">
        <v>720000</v>
      </c>
      <c r="J274" t="s">
        <v>57</v>
      </c>
      <c r="K274" t="s">
        <v>40</v>
      </c>
      <c r="L274" t="s">
        <v>86</v>
      </c>
    </row>
    <row r="275" spans="1:12" x14ac:dyDescent="0.25">
      <c r="A275">
        <v>10274</v>
      </c>
      <c r="B275" s="5">
        <v>46100</v>
      </c>
      <c r="C275" t="s">
        <v>69</v>
      </c>
      <c r="D275" t="s">
        <v>73</v>
      </c>
      <c r="E275" t="s">
        <v>61</v>
      </c>
      <c r="F275" t="s">
        <v>36</v>
      </c>
      <c r="G275">
        <v>6</v>
      </c>
      <c r="H275" s="6">
        <v>45000</v>
      </c>
      <c r="I275" s="6">
        <v>270000</v>
      </c>
      <c r="J275" t="s">
        <v>41</v>
      </c>
      <c r="K275" t="s">
        <v>40</v>
      </c>
      <c r="L275" t="s">
        <v>87</v>
      </c>
    </row>
    <row r="276" spans="1:12" x14ac:dyDescent="0.25">
      <c r="A276">
        <v>10275</v>
      </c>
      <c r="B276" s="5">
        <v>46193</v>
      </c>
      <c r="C276" t="s">
        <v>38</v>
      </c>
      <c r="D276" t="s">
        <v>63</v>
      </c>
      <c r="E276" t="s">
        <v>52</v>
      </c>
      <c r="F276" t="s">
        <v>35</v>
      </c>
      <c r="G276">
        <v>1</v>
      </c>
      <c r="H276" s="6">
        <v>30000</v>
      </c>
      <c r="I276" s="6">
        <v>30000</v>
      </c>
      <c r="J276" t="s">
        <v>57</v>
      </c>
      <c r="K276" t="s">
        <v>40</v>
      </c>
      <c r="L276" t="s">
        <v>85</v>
      </c>
    </row>
    <row r="277" spans="1:12" x14ac:dyDescent="0.25">
      <c r="A277">
        <v>10276</v>
      </c>
      <c r="B277" s="5">
        <v>46117</v>
      </c>
      <c r="C277" t="s">
        <v>69</v>
      </c>
      <c r="D277" t="s">
        <v>47</v>
      </c>
      <c r="E277" t="s">
        <v>44</v>
      </c>
      <c r="F277" t="s">
        <v>35</v>
      </c>
      <c r="G277">
        <v>5</v>
      </c>
      <c r="H277" s="6">
        <v>90000</v>
      </c>
      <c r="I277" s="6">
        <v>450000</v>
      </c>
      <c r="J277" t="s">
        <v>49</v>
      </c>
      <c r="K277" t="s">
        <v>56</v>
      </c>
      <c r="L277" t="s">
        <v>85</v>
      </c>
    </row>
    <row r="278" spans="1:12" x14ac:dyDescent="0.25">
      <c r="A278">
        <v>10277</v>
      </c>
      <c r="B278" s="5">
        <v>46214</v>
      </c>
      <c r="C278" t="s">
        <v>69</v>
      </c>
      <c r="D278" t="s">
        <v>55</v>
      </c>
      <c r="E278" t="s">
        <v>53</v>
      </c>
      <c r="F278" t="s">
        <v>36</v>
      </c>
      <c r="G278">
        <v>8</v>
      </c>
      <c r="H278" s="6">
        <v>180000</v>
      </c>
      <c r="I278" s="6">
        <v>1440000</v>
      </c>
      <c r="J278" t="s">
        <v>64</v>
      </c>
      <c r="K278" t="s">
        <v>40</v>
      </c>
      <c r="L278" t="s">
        <v>87</v>
      </c>
    </row>
    <row r="279" spans="1:12" x14ac:dyDescent="0.25">
      <c r="A279">
        <v>10278</v>
      </c>
      <c r="B279" s="5">
        <v>46197</v>
      </c>
      <c r="C279" t="s">
        <v>69</v>
      </c>
      <c r="D279" t="s">
        <v>39</v>
      </c>
      <c r="E279" t="s">
        <v>53</v>
      </c>
      <c r="F279" t="s">
        <v>36</v>
      </c>
      <c r="G279">
        <v>4</v>
      </c>
      <c r="H279" s="6">
        <v>180000</v>
      </c>
      <c r="I279" s="6">
        <v>720000</v>
      </c>
      <c r="J279" t="s">
        <v>64</v>
      </c>
      <c r="K279" t="s">
        <v>40</v>
      </c>
      <c r="L279" t="s">
        <v>87</v>
      </c>
    </row>
    <row r="280" spans="1:12" x14ac:dyDescent="0.25">
      <c r="A280">
        <v>10279</v>
      </c>
      <c r="B280" s="5">
        <v>46038</v>
      </c>
      <c r="C280" t="s">
        <v>69</v>
      </c>
      <c r="D280" t="s">
        <v>70</v>
      </c>
      <c r="E280" t="s">
        <v>44</v>
      </c>
      <c r="F280" t="s">
        <v>35</v>
      </c>
      <c r="G280">
        <v>2</v>
      </c>
      <c r="H280" s="6">
        <v>90000</v>
      </c>
      <c r="I280" s="6">
        <v>180000</v>
      </c>
      <c r="J280" t="s">
        <v>49</v>
      </c>
      <c r="K280" t="s">
        <v>40</v>
      </c>
      <c r="L280" t="s">
        <v>85</v>
      </c>
    </row>
    <row r="281" spans="1:12" x14ac:dyDescent="0.25">
      <c r="A281">
        <v>10280</v>
      </c>
      <c r="B281" s="5">
        <v>46241</v>
      </c>
      <c r="C281" t="s">
        <v>69</v>
      </c>
      <c r="D281" t="s">
        <v>63</v>
      </c>
      <c r="E281" t="s">
        <v>51</v>
      </c>
      <c r="F281" t="s">
        <v>34</v>
      </c>
      <c r="G281">
        <v>6</v>
      </c>
      <c r="H281" s="6">
        <v>55000</v>
      </c>
      <c r="I281" s="6">
        <v>330000</v>
      </c>
      <c r="J281" t="s">
        <v>41</v>
      </c>
      <c r="K281" t="s">
        <v>40</v>
      </c>
      <c r="L281" t="s">
        <v>86</v>
      </c>
    </row>
    <row r="282" spans="1:12" x14ac:dyDescent="0.25">
      <c r="A282">
        <v>10281</v>
      </c>
      <c r="B282" s="5">
        <v>46230</v>
      </c>
      <c r="C282" t="s">
        <v>38</v>
      </c>
      <c r="D282" t="s">
        <v>63</v>
      </c>
      <c r="E282" t="s">
        <v>45</v>
      </c>
      <c r="F282" t="s">
        <v>36</v>
      </c>
      <c r="G282">
        <v>8</v>
      </c>
      <c r="H282" s="6">
        <v>140000</v>
      </c>
      <c r="I282" s="6">
        <v>1120000</v>
      </c>
      <c r="J282" t="s">
        <v>49</v>
      </c>
      <c r="K282" t="s">
        <v>40</v>
      </c>
      <c r="L282" t="s">
        <v>87</v>
      </c>
    </row>
    <row r="283" spans="1:12" x14ac:dyDescent="0.25">
      <c r="A283">
        <v>10282</v>
      </c>
      <c r="B283" s="5">
        <v>46195</v>
      </c>
      <c r="C283" t="s">
        <v>54</v>
      </c>
      <c r="D283" t="s">
        <v>73</v>
      </c>
      <c r="E283" t="s">
        <v>45</v>
      </c>
      <c r="F283" t="s">
        <v>36</v>
      </c>
      <c r="G283">
        <v>8</v>
      </c>
      <c r="H283" s="6">
        <v>140000</v>
      </c>
      <c r="I283" s="6">
        <v>1120000</v>
      </c>
      <c r="J283" t="s">
        <v>41</v>
      </c>
      <c r="K283" t="s">
        <v>40</v>
      </c>
      <c r="L283" t="s">
        <v>87</v>
      </c>
    </row>
    <row r="284" spans="1:12" x14ac:dyDescent="0.25">
      <c r="A284">
        <v>10283</v>
      </c>
      <c r="B284" s="5">
        <v>46171</v>
      </c>
      <c r="C284" t="s">
        <v>38</v>
      </c>
      <c r="D284" t="s">
        <v>39</v>
      </c>
      <c r="E284" t="s">
        <v>74</v>
      </c>
      <c r="F284" t="s">
        <v>33</v>
      </c>
      <c r="G284">
        <v>4</v>
      </c>
      <c r="H284" s="6">
        <v>220000</v>
      </c>
      <c r="I284" s="6">
        <v>880000</v>
      </c>
      <c r="J284" t="s">
        <v>64</v>
      </c>
      <c r="K284" t="s">
        <v>40</v>
      </c>
      <c r="L284" t="s">
        <v>84</v>
      </c>
    </row>
    <row r="285" spans="1:12" x14ac:dyDescent="0.25">
      <c r="A285">
        <v>10284</v>
      </c>
      <c r="B285" s="5">
        <v>46262</v>
      </c>
      <c r="C285" t="s">
        <v>38</v>
      </c>
      <c r="D285" t="s">
        <v>63</v>
      </c>
      <c r="E285" t="s">
        <v>71</v>
      </c>
      <c r="F285" t="s">
        <v>33</v>
      </c>
      <c r="G285">
        <v>1</v>
      </c>
      <c r="H285" s="6">
        <v>45000</v>
      </c>
      <c r="I285" s="6">
        <v>45000</v>
      </c>
      <c r="J285" t="s">
        <v>41</v>
      </c>
      <c r="K285" t="s">
        <v>40</v>
      </c>
      <c r="L285" t="s">
        <v>84</v>
      </c>
    </row>
    <row r="286" spans="1:12" x14ac:dyDescent="0.25">
      <c r="A286">
        <v>10285</v>
      </c>
      <c r="B286" s="5">
        <v>46118</v>
      </c>
      <c r="C286" t="s">
        <v>62</v>
      </c>
      <c r="D286" t="s">
        <v>63</v>
      </c>
      <c r="E286" t="s">
        <v>51</v>
      </c>
      <c r="F286" t="s">
        <v>34</v>
      </c>
      <c r="G286">
        <v>7</v>
      </c>
      <c r="H286" s="6">
        <v>55000</v>
      </c>
      <c r="I286" s="6">
        <v>385000</v>
      </c>
      <c r="J286" t="s">
        <v>64</v>
      </c>
      <c r="K286" t="s">
        <v>40</v>
      </c>
      <c r="L286" t="s">
        <v>86</v>
      </c>
    </row>
    <row r="287" spans="1:12" x14ac:dyDescent="0.25">
      <c r="A287">
        <v>10286</v>
      </c>
      <c r="B287" s="5">
        <v>46068</v>
      </c>
      <c r="C287" t="s">
        <v>69</v>
      </c>
      <c r="D287" t="s">
        <v>63</v>
      </c>
      <c r="E287" t="s">
        <v>59</v>
      </c>
      <c r="F287" t="s">
        <v>34</v>
      </c>
      <c r="G287">
        <v>2</v>
      </c>
      <c r="H287" s="6">
        <v>70000</v>
      </c>
      <c r="I287" s="6">
        <v>140000</v>
      </c>
      <c r="J287" t="s">
        <v>49</v>
      </c>
      <c r="K287" t="s">
        <v>40</v>
      </c>
      <c r="L287" t="s">
        <v>86</v>
      </c>
    </row>
    <row r="288" spans="1:12" x14ac:dyDescent="0.25">
      <c r="A288">
        <v>10287</v>
      </c>
      <c r="B288" s="5">
        <v>46099</v>
      </c>
      <c r="C288" t="s">
        <v>62</v>
      </c>
      <c r="D288" t="s">
        <v>73</v>
      </c>
      <c r="E288" t="s">
        <v>43</v>
      </c>
      <c r="F288" t="s">
        <v>34</v>
      </c>
      <c r="G288">
        <v>1</v>
      </c>
      <c r="H288" s="6">
        <v>35000</v>
      </c>
      <c r="I288" s="6">
        <v>35000</v>
      </c>
      <c r="J288" t="s">
        <v>64</v>
      </c>
      <c r="K288" t="s">
        <v>40</v>
      </c>
      <c r="L288" t="s">
        <v>86</v>
      </c>
    </row>
    <row r="289" spans="1:12" x14ac:dyDescent="0.25">
      <c r="A289">
        <v>10288</v>
      </c>
      <c r="B289" s="5">
        <v>46111</v>
      </c>
      <c r="C289" t="s">
        <v>46</v>
      </c>
      <c r="D289" t="s">
        <v>55</v>
      </c>
      <c r="E289" t="s">
        <v>51</v>
      </c>
      <c r="F289" t="s">
        <v>34</v>
      </c>
      <c r="G289">
        <v>8</v>
      </c>
      <c r="H289" s="6">
        <v>55000</v>
      </c>
      <c r="I289" s="6">
        <v>440000</v>
      </c>
      <c r="J289" t="s">
        <v>49</v>
      </c>
      <c r="K289" t="s">
        <v>56</v>
      </c>
      <c r="L289" t="s">
        <v>86</v>
      </c>
    </row>
    <row r="290" spans="1:12" x14ac:dyDescent="0.25">
      <c r="A290">
        <v>10289</v>
      </c>
      <c r="B290" s="5">
        <v>46180</v>
      </c>
      <c r="C290" t="s">
        <v>38</v>
      </c>
      <c r="D290" t="s">
        <v>47</v>
      </c>
      <c r="E290" t="s">
        <v>42</v>
      </c>
      <c r="F290" t="s">
        <v>33</v>
      </c>
      <c r="G290">
        <v>7</v>
      </c>
      <c r="H290" s="6">
        <v>650000</v>
      </c>
      <c r="I290" s="6">
        <v>4550000</v>
      </c>
      <c r="J290" t="s">
        <v>49</v>
      </c>
      <c r="K290" t="s">
        <v>40</v>
      </c>
      <c r="L290" t="s">
        <v>84</v>
      </c>
    </row>
    <row r="291" spans="1:12" x14ac:dyDescent="0.25">
      <c r="A291">
        <v>10290</v>
      </c>
      <c r="B291" s="5">
        <v>46085</v>
      </c>
      <c r="C291" t="s">
        <v>72</v>
      </c>
      <c r="D291" t="s">
        <v>39</v>
      </c>
      <c r="E291" t="s">
        <v>65</v>
      </c>
      <c r="F291" t="s">
        <v>33</v>
      </c>
      <c r="G291">
        <v>1</v>
      </c>
      <c r="H291" s="6">
        <v>180000</v>
      </c>
      <c r="I291" s="6">
        <v>180000</v>
      </c>
      <c r="J291" t="s">
        <v>64</v>
      </c>
      <c r="K291" t="s">
        <v>40</v>
      </c>
      <c r="L291" t="s">
        <v>84</v>
      </c>
    </row>
    <row r="292" spans="1:12" x14ac:dyDescent="0.25">
      <c r="A292">
        <v>10291</v>
      </c>
      <c r="B292" s="5">
        <v>46151</v>
      </c>
      <c r="C292" t="s">
        <v>54</v>
      </c>
      <c r="D292" t="s">
        <v>47</v>
      </c>
      <c r="E292" t="s">
        <v>43</v>
      </c>
      <c r="F292" t="s">
        <v>34</v>
      </c>
      <c r="G292">
        <v>3</v>
      </c>
      <c r="H292" s="6">
        <v>35000</v>
      </c>
      <c r="I292" s="6">
        <v>105000</v>
      </c>
      <c r="J292" t="s">
        <v>57</v>
      </c>
      <c r="K292" t="s">
        <v>40</v>
      </c>
      <c r="L292" t="s">
        <v>86</v>
      </c>
    </row>
    <row r="293" spans="1:12" x14ac:dyDescent="0.25">
      <c r="A293">
        <v>10292</v>
      </c>
      <c r="B293" s="5">
        <v>46247</v>
      </c>
      <c r="C293" t="s">
        <v>46</v>
      </c>
      <c r="D293" t="s">
        <v>73</v>
      </c>
      <c r="E293" t="s">
        <v>52</v>
      </c>
      <c r="F293" t="s">
        <v>35</v>
      </c>
      <c r="G293">
        <v>5</v>
      </c>
      <c r="H293" s="6">
        <v>30000</v>
      </c>
      <c r="I293" s="6">
        <v>150000</v>
      </c>
      <c r="J293" t="s">
        <v>49</v>
      </c>
      <c r="K293" t="s">
        <v>40</v>
      </c>
      <c r="L293" t="s">
        <v>85</v>
      </c>
    </row>
    <row r="294" spans="1:12" x14ac:dyDescent="0.25">
      <c r="A294">
        <v>10293</v>
      </c>
      <c r="B294" s="5">
        <v>46183</v>
      </c>
      <c r="C294" t="s">
        <v>72</v>
      </c>
      <c r="D294" t="s">
        <v>63</v>
      </c>
      <c r="E294" t="s">
        <v>44</v>
      </c>
      <c r="F294" t="s">
        <v>35</v>
      </c>
      <c r="G294">
        <v>3</v>
      </c>
      <c r="H294" s="6">
        <v>90000</v>
      </c>
      <c r="I294" s="6">
        <v>270000</v>
      </c>
      <c r="J294" t="s">
        <v>64</v>
      </c>
      <c r="K294" t="s">
        <v>40</v>
      </c>
      <c r="L294" t="s">
        <v>85</v>
      </c>
    </row>
    <row r="295" spans="1:12" x14ac:dyDescent="0.25">
      <c r="A295">
        <v>10294</v>
      </c>
      <c r="B295" s="5">
        <v>46201</v>
      </c>
      <c r="C295" t="s">
        <v>62</v>
      </c>
      <c r="D295" t="s">
        <v>63</v>
      </c>
      <c r="E295" t="s">
        <v>67</v>
      </c>
      <c r="F295" t="s">
        <v>35</v>
      </c>
      <c r="G295">
        <v>6</v>
      </c>
      <c r="H295" s="6">
        <v>50000</v>
      </c>
      <c r="I295" s="6">
        <v>300000</v>
      </c>
      <c r="J295" t="s">
        <v>49</v>
      </c>
      <c r="K295" t="s">
        <v>40</v>
      </c>
      <c r="L295" t="s">
        <v>85</v>
      </c>
    </row>
    <row r="296" spans="1:12" x14ac:dyDescent="0.25">
      <c r="A296">
        <v>10295</v>
      </c>
      <c r="B296" s="5">
        <v>46240</v>
      </c>
      <c r="C296" t="s">
        <v>46</v>
      </c>
      <c r="D296" t="s">
        <v>55</v>
      </c>
      <c r="E296" t="s">
        <v>66</v>
      </c>
      <c r="F296" t="s">
        <v>34</v>
      </c>
      <c r="G296">
        <v>4</v>
      </c>
      <c r="H296" s="6">
        <v>120000</v>
      </c>
      <c r="I296" s="6">
        <v>480000</v>
      </c>
      <c r="J296" t="s">
        <v>49</v>
      </c>
      <c r="K296" t="s">
        <v>48</v>
      </c>
      <c r="L296" t="s">
        <v>86</v>
      </c>
    </row>
    <row r="297" spans="1:12" x14ac:dyDescent="0.25">
      <c r="A297">
        <v>10296</v>
      </c>
      <c r="B297" s="5">
        <v>46129</v>
      </c>
      <c r="C297" t="s">
        <v>69</v>
      </c>
      <c r="D297" t="s">
        <v>70</v>
      </c>
      <c r="E297" t="s">
        <v>71</v>
      </c>
      <c r="F297" t="s">
        <v>33</v>
      </c>
      <c r="G297">
        <v>7</v>
      </c>
      <c r="H297" s="6">
        <v>45000</v>
      </c>
      <c r="I297" s="6">
        <v>315000</v>
      </c>
      <c r="J297" t="s">
        <v>49</v>
      </c>
      <c r="K297" t="s">
        <v>40</v>
      </c>
      <c r="L297" t="s">
        <v>84</v>
      </c>
    </row>
    <row r="298" spans="1:12" x14ac:dyDescent="0.25">
      <c r="A298">
        <v>10297</v>
      </c>
      <c r="B298" s="5">
        <v>46188</v>
      </c>
      <c r="C298" t="s">
        <v>38</v>
      </c>
      <c r="D298" t="s">
        <v>63</v>
      </c>
      <c r="E298" t="s">
        <v>52</v>
      </c>
      <c r="F298" t="s">
        <v>35</v>
      </c>
      <c r="G298">
        <v>6</v>
      </c>
      <c r="H298" s="6">
        <v>30000</v>
      </c>
      <c r="I298" s="6">
        <v>180000</v>
      </c>
      <c r="J298" t="s">
        <v>57</v>
      </c>
      <c r="K298" t="s">
        <v>40</v>
      </c>
      <c r="L298" t="s">
        <v>85</v>
      </c>
    </row>
    <row r="299" spans="1:12" x14ac:dyDescent="0.25">
      <c r="A299">
        <v>10298</v>
      </c>
      <c r="B299" s="5">
        <v>46119</v>
      </c>
      <c r="C299" t="s">
        <v>72</v>
      </c>
      <c r="D299" t="s">
        <v>70</v>
      </c>
      <c r="E299" t="s">
        <v>43</v>
      </c>
      <c r="F299" t="s">
        <v>34</v>
      </c>
      <c r="G299">
        <v>5</v>
      </c>
      <c r="H299" s="6">
        <v>35000</v>
      </c>
      <c r="I299" s="6">
        <v>175000</v>
      </c>
      <c r="J299" t="s">
        <v>41</v>
      </c>
      <c r="K299" t="s">
        <v>48</v>
      </c>
      <c r="L299" t="s">
        <v>86</v>
      </c>
    </row>
    <row r="300" spans="1:12" x14ac:dyDescent="0.25">
      <c r="A300">
        <v>10299</v>
      </c>
      <c r="B300" s="5">
        <v>46076</v>
      </c>
      <c r="C300" t="s">
        <v>54</v>
      </c>
      <c r="D300" t="s">
        <v>55</v>
      </c>
      <c r="E300" t="s">
        <v>51</v>
      </c>
      <c r="F300" t="s">
        <v>34</v>
      </c>
      <c r="G300">
        <v>8</v>
      </c>
      <c r="H300" s="6">
        <v>55000</v>
      </c>
      <c r="I300" s="6">
        <v>440000</v>
      </c>
      <c r="J300" t="s">
        <v>41</v>
      </c>
      <c r="K300" t="s">
        <v>40</v>
      </c>
      <c r="L300" t="s">
        <v>86</v>
      </c>
    </row>
    <row r="301" spans="1:12" x14ac:dyDescent="0.25">
      <c r="A301">
        <v>10300</v>
      </c>
      <c r="B301" s="5">
        <v>46257</v>
      </c>
      <c r="C301" t="s">
        <v>46</v>
      </c>
      <c r="D301" t="s">
        <v>73</v>
      </c>
      <c r="E301" t="s">
        <v>43</v>
      </c>
      <c r="F301" t="s">
        <v>34</v>
      </c>
      <c r="G301">
        <v>8</v>
      </c>
      <c r="H301" s="6">
        <v>35000</v>
      </c>
      <c r="I301" s="6">
        <v>280000</v>
      </c>
      <c r="J301" t="s">
        <v>49</v>
      </c>
      <c r="K301" t="s">
        <v>40</v>
      </c>
      <c r="L301" t="s">
        <v>86</v>
      </c>
    </row>
    <row r="302" spans="1:12" x14ac:dyDescent="0.25">
      <c r="A302">
        <v>10301</v>
      </c>
      <c r="B302" s="5">
        <v>46120</v>
      </c>
      <c r="C302" t="s">
        <v>62</v>
      </c>
      <c r="D302" t="s">
        <v>70</v>
      </c>
      <c r="E302" t="s">
        <v>59</v>
      </c>
      <c r="F302" t="s">
        <v>34</v>
      </c>
      <c r="G302">
        <v>5</v>
      </c>
      <c r="H302" s="6">
        <v>70000</v>
      </c>
      <c r="I302" s="6">
        <v>350000</v>
      </c>
      <c r="J302" t="s">
        <v>57</v>
      </c>
      <c r="K302" t="s">
        <v>40</v>
      </c>
      <c r="L302" t="s">
        <v>86</v>
      </c>
    </row>
    <row r="303" spans="1:12" x14ac:dyDescent="0.25">
      <c r="A303">
        <v>10302</v>
      </c>
      <c r="B303" s="5">
        <v>46048</v>
      </c>
      <c r="C303" t="s">
        <v>72</v>
      </c>
      <c r="D303" t="s">
        <v>63</v>
      </c>
      <c r="E303" t="s">
        <v>67</v>
      </c>
      <c r="F303" t="s">
        <v>35</v>
      </c>
      <c r="G303">
        <v>8</v>
      </c>
      <c r="H303" s="6">
        <v>50000</v>
      </c>
      <c r="I303" s="6">
        <v>400000</v>
      </c>
      <c r="J303" t="s">
        <v>57</v>
      </c>
      <c r="K303" t="s">
        <v>48</v>
      </c>
      <c r="L303" t="s">
        <v>85</v>
      </c>
    </row>
    <row r="304" spans="1:12" x14ac:dyDescent="0.25">
      <c r="A304">
        <v>10303</v>
      </c>
      <c r="B304" s="5">
        <v>46034</v>
      </c>
      <c r="C304" t="s">
        <v>69</v>
      </c>
      <c r="D304" t="s">
        <v>47</v>
      </c>
      <c r="E304" t="s">
        <v>60</v>
      </c>
      <c r="F304" t="s">
        <v>35</v>
      </c>
      <c r="G304">
        <v>7</v>
      </c>
      <c r="H304" s="6">
        <v>65000</v>
      </c>
      <c r="I304" s="6">
        <v>455000</v>
      </c>
      <c r="J304" t="s">
        <v>49</v>
      </c>
      <c r="K304" t="s">
        <v>40</v>
      </c>
      <c r="L304" t="s">
        <v>85</v>
      </c>
    </row>
    <row r="305" spans="1:12" x14ac:dyDescent="0.25">
      <c r="A305">
        <v>10304</v>
      </c>
      <c r="B305" s="5">
        <v>46073</v>
      </c>
      <c r="C305" t="s">
        <v>54</v>
      </c>
      <c r="D305" t="s">
        <v>47</v>
      </c>
      <c r="E305" t="s">
        <v>61</v>
      </c>
      <c r="F305" t="s">
        <v>36</v>
      </c>
      <c r="G305">
        <v>3</v>
      </c>
      <c r="H305" s="6">
        <v>45000</v>
      </c>
      <c r="I305" s="6">
        <v>135000</v>
      </c>
      <c r="J305" t="s">
        <v>64</v>
      </c>
      <c r="K305" t="s">
        <v>40</v>
      </c>
      <c r="L305" t="s">
        <v>87</v>
      </c>
    </row>
    <row r="306" spans="1:12" x14ac:dyDescent="0.25">
      <c r="A306">
        <v>10305</v>
      </c>
      <c r="B306" s="5">
        <v>46088</v>
      </c>
      <c r="C306" t="s">
        <v>62</v>
      </c>
      <c r="D306" t="s">
        <v>73</v>
      </c>
      <c r="E306" t="s">
        <v>66</v>
      </c>
      <c r="F306" t="s">
        <v>34</v>
      </c>
      <c r="G306">
        <v>6</v>
      </c>
      <c r="H306" s="6">
        <v>120000</v>
      </c>
      <c r="I306" s="6">
        <v>720000</v>
      </c>
      <c r="J306" t="s">
        <v>64</v>
      </c>
      <c r="K306" t="s">
        <v>40</v>
      </c>
      <c r="L306" t="s">
        <v>86</v>
      </c>
    </row>
    <row r="307" spans="1:12" x14ac:dyDescent="0.25">
      <c r="A307">
        <v>10306</v>
      </c>
      <c r="B307" s="5">
        <v>46207</v>
      </c>
      <c r="C307" t="s">
        <v>69</v>
      </c>
      <c r="D307" t="s">
        <v>63</v>
      </c>
      <c r="E307" t="s">
        <v>52</v>
      </c>
      <c r="F307" t="s">
        <v>35</v>
      </c>
      <c r="G307">
        <v>3</v>
      </c>
      <c r="H307" s="6">
        <v>30000</v>
      </c>
      <c r="I307" s="6">
        <v>90000</v>
      </c>
      <c r="J307" t="s">
        <v>49</v>
      </c>
      <c r="K307" t="s">
        <v>48</v>
      </c>
      <c r="L307" t="s">
        <v>85</v>
      </c>
    </row>
    <row r="308" spans="1:12" x14ac:dyDescent="0.25">
      <c r="A308">
        <v>10307</v>
      </c>
      <c r="B308" s="5">
        <v>46237</v>
      </c>
      <c r="C308" t="s">
        <v>38</v>
      </c>
      <c r="D308" t="s">
        <v>73</v>
      </c>
      <c r="E308" t="s">
        <v>71</v>
      </c>
      <c r="F308" t="s">
        <v>33</v>
      </c>
      <c r="G308">
        <v>1</v>
      </c>
      <c r="H308" s="6">
        <v>45000</v>
      </c>
      <c r="I308" s="6">
        <v>45000</v>
      </c>
      <c r="J308" t="s">
        <v>41</v>
      </c>
      <c r="K308" t="s">
        <v>48</v>
      </c>
      <c r="L308" t="s">
        <v>84</v>
      </c>
    </row>
    <row r="309" spans="1:12" x14ac:dyDescent="0.25">
      <c r="A309">
        <v>10308</v>
      </c>
      <c r="B309" s="5">
        <v>46040</v>
      </c>
      <c r="C309" t="s">
        <v>72</v>
      </c>
      <c r="D309" t="s">
        <v>47</v>
      </c>
      <c r="E309" t="s">
        <v>53</v>
      </c>
      <c r="F309" t="s">
        <v>36</v>
      </c>
      <c r="G309">
        <v>4</v>
      </c>
      <c r="H309" s="6">
        <v>180000</v>
      </c>
      <c r="I309" s="6">
        <v>720000</v>
      </c>
      <c r="J309" t="s">
        <v>41</v>
      </c>
      <c r="K309" t="s">
        <v>40</v>
      </c>
      <c r="L309" t="s">
        <v>87</v>
      </c>
    </row>
    <row r="310" spans="1:12" x14ac:dyDescent="0.25">
      <c r="A310">
        <v>10309</v>
      </c>
      <c r="B310" s="5">
        <v>46181</v>
      </c>
      <c r="C310" t="s">
        <v>72</v>
      </c>
      <c r="D310" t="s">
        <v>73</v>
      </c>
      <c r="E310" t="s">
        <v>61</v>
      </c>
      <c r="F310" t="s">
        <v>36</v>
      </c>
      <c r="G310">
        <v>1</v>
      </c>
      <c r="H310" s="6">
        <v>45000</v>
      </c>
      <c r="I310" s="6">
        <v>45000</v>
      </c>
      <c r="J310" t="s">
        <v>64</v>
      </c>
      <c r="K310" t="s">
        <v>40</v>
      </c>
      <c r="L310" t="s">
        <v>87</v>
      </c>
    </row>
    <row r="311" spans="1:12" x14ac:dyDescent="0.25">
      <c r="A311">
        <v>10310</v>
      </c>
      <c r="B311" s="5">
        <v>46026</v>
      </c>
      <c r="C311" t="s">
        <v>38</v>
      </c>
      <c r="D311" t="s">
        <v>70</v>
      </c>
      <c r="E311" t="s">
        <v>42</v>
      </c>
      <c r="F311" t="s">
        <v>33</v>
      </c>
      <c r="G311">
        <v>7</v>
      </c>
      <c r="H311" s="6">
        <v>650000</v>
      </c>
      <c r="I311" s="6">
        <v>4550000</v>
      </c>
      <c r="J311" t="s">
        <v>57</v>
      </c>
      <c r="K311" t="s">
        <v>40</v>
      </c>
      <c r="L311" t="s">
        <v>84</v>
      </c>
    </row>
    <row r="312" spans="1:12" x14ac:dyDescent="0.25">
      <c r="A312">
        <v>10311</v>
      </c>
      <c r="B312" s="5">
        <v>46229</v>
      </c>
      <c r="C312" t="s">
        <v>46</v>
      </c>
      <c r="D312" t="s">
        <v>39</v>
      </c>
      <c r="E312" t="s">
        <v>44</v>
      </c>
      <c r="F312" t="s">
        <v>35</v>
      </c>
      <c r="G312">
        <v>7</v>
      </c>
      <c r="H312" s="6">
        <v>90000</v>
      </c>
      <c r="I312" s="6">
        <v>630000</v>
      </c>
      <c r="J312" t="s">
        <v>41</v>
      </c>
      <c r="K312" t="s">
        <v>40</v>
      </c>
      <c r="L312" t="s">
        <v>85</v>
      </c>
    </row>
    <row r="313" spans="1:12" x14ac:dyDescent="0.25">
      <c r="A313">
        <v>10312</v>
      </c>
      <c r="B313" s="5">
        <v>46231</v>
      </c>
      <c r="C313" t="s">
        <v>54</v>
      </c>
      <c r="D313" t="s">
        <v>55</v>
      </c>
      <c r="E313" t="s">
        <v>51</v>
      </c>
      <c r="F313" t="s">
        <v>34</v>
      </c>
      <c r="G313">
        <v>5</v>
      </c>
      <c r="H313" s="6">
        <v>55000</v>
      </c>
      <c r="I313" s="6">
        <v>275000</v>
      </c>
      <c r="J313" t="s">
        <v>64</v>
      </c>
      <c r="K313" t="s">
        <v>40</v>
      </c>
      <c r="L313" t="s">
        <v>86</v>
      </c>
    </row>
    <row r="314" spans="1:12" x14ac:dyDescent="0.25">
      <c r="A314">
        <v>10313</v>
      </c>
      <c r="B314" s="5">
        <v>46201</v>
      </c>
      <c r="C314" t="s">
        <v>46</v>
      </c>
      <c r="D314" t="s">
        <v>55</v>
      </c>
      <c r="E314" t="s">
        <v>68</v>
      </c>
      <c r="F314" t="s">
        <v>36</v>
      </c>
      <c r="G314">
        <v>4</v>
      </c>
      <c r="H314" s="6">
        <v>18000</v>
      </c>
      <c r="I314" s="6">
        <v>72000</v>
      </c>
      <c r="J314" t="s">
        <v>41</v>
      </c>
      <c r="K314" t="s">
        <v>40</v>
      </c>
      <c r="L314" t="s">
        <v>87</v>
      </c>
    </row>
    <row r="315" spans="1:12" x14ac:dyDescent="0.25">
      <c r="A315">
        <v>10314</v>
      </c>
      <c r="B315" s="5">
        <v>46120</v>
      </c>
      <c r="C315" t="s">
        <v>62</v>
      </c>
      <c r="D315" t="s">
        <v>70</v>
      </c>
      <c r="E315" t="s">
        <v>42</v>
      </c>
      <c r="F315" t="s">
        <v>33</v>
      </c>
      <c r="G315">
        <v>7</v>
      </c>
      <c r="H315" s="6">
        <v>650000</v>
      </c>
      <c r="I315" s="6">
        <v>4550000</v>
      </c>
      <c r="J315" t="s">
        <v>64</v>
      </c>
      <c r="K315" t="s">
        <v>40</v>
      </c>
      <c r="L315" t="s">
        <v>84</v>
      </c>
    </row>
    <row r="316" spans="1:12" x14ac:dyDescent="0.25">
      <c r="A316">
        <v>10315</v>
      </c>
      <c r="B316" s="5">
        <v>46044</v>
      </c>
      <c r="C316" t="s">
        <v>62</v>
      </c>
      <c r="D316" t="s">
        <v>63</v>
      </c>
      <c r="E316" t="s">
        <v>74</v>
      </c>
      <c r="F316" t="s">
        <v>33</v>
      </c>
      <c r="G316">
        <v>3</v>
      </c>
      <c r="H316" s="6">
        <v>220000</v>
      </c>
      <c r="I316" s="6">
        <v>660000</v>
      </c>
      <c r="J316" t="s">
        <v>57</v>
      </c>
      <c r="K316" t="s">
        <v>40</v>
      </c>
      <c r="L316" t="s">
        <v>84</v>
      </c>
    </row>
    <row r="317" spans="1:12" x14ac:dyDescent="0.25">
      <c r="A317">
        <v>10316</v>
      </c>
      <c r="B317" s="5">
        <v>46081</v>
      </c>
      <c r="C317" t="s">
        <v>46</v>
      </c>
      <c r="D317" t="s">
        <v>73</v>
      </c>
      <c r="E317" t="s">
        <v>71</v>
      </c>
      <c r="F317" t="s">
        <v>33</v>
      </c>
      <c r="G317">
        <v>1</v>
      </c>
      <c r="H317" s="6">
        <v>45000</v>
      </c>
      <c r="I317" s="6">
        <v>45000</v>
      </c>
      <c r="J317" t="s">
        <v>64</v>
      </c>
      <c r="K317" t="s">
        <v>40</v>
      </c>
      <c r="L317" t="s">
        <v>84</v>
      </c>
    </row>
    <row r="318" spans="1:12" x14ac:dyDescent="0.25">
      <c r="A318">
        <v>10317</v>
      </c>
      <c r="B318" s="5">
        <v>46253</v>
      </c>
      <c r="C318" t="s">
        <v>69</v>
      </c>
      <c r="D318" t="s">
        <v>70</v>
      </c>
      <c r="E318" t="s">
        <v>74</v>
      </c>
      <c r="F318" t="s">
        <v>33</v>
      </c>
      <c r="G318">
        <v>5</v>
      </c>
      <c r="H318" s="6">
        <v>220000</v>
      </c>
      <c r="I318" s="6">
        <v>1100000</v>
      </c>
      <c r="J318" t="s">
        <v>41</v>
      </c>
      <c r="K318" t="s">
        <v>40</v>
      </c>
      <c r="L318" t="s">
        <v>84</v>
      </c>
    </row>
    <row r="319" spans="1:12" x14ac:dyDescent="0.25">
      <c r="A319">
        <v>10318</v>
      </c>
      <c r="B319" s="5">
        <v>46173</v>
      </c>
      <c r="C319" t="s">
        <v>46</v>
      </c>
      <c r="D319" t="s">
        <v>73</v>
      </c>
      <c r="E319" t="s">
        <v>44</v>
      </c>
      <c r="F319" t="s">
        <v>35</v>
      </c>
      <c r="G319">
        <v>4</v>
      </c>
      <c r="H319" s="6">
        <v>90000</v>
      </c>
      <c r="I319" s="6">
        <v>360000</v>
      </c>
      <c r="J319" t="s">
        <v>64</v>
      </c>
      <c r="K319" t="s">
        <v>48</v>
      </c>
      <c r="L319" t="s">
        <v>85</v>
      </c>
    </row>
    <row r="320" spans="1:12" x14ac:dyDescent="0.25">
      <c r="A320">
        <v>10319</v>
      </c>
      <c r="B320" s="5">
        <v>46168</v>
      </c>
      <c r="C320" t="s">
        <v>62</v>
      </c>
      <c r="D320" t="s">
        <v>73</v>
      </c>
      <c r="E320" t="s">
        <v>52</v>
      </c>
      <c r="F320" t="s">
        <v>35</v>
      </c>
      <c r="G320">
        <v>4</v>
      </c>
      <c r="H320" s="6">
        <v>30000</v>
      </c>
      <c r="I320" s="6">
        <v>120000</v>
      </c>
      <c r="J320" t="s">
        <v>57</v>
      </c>
      <c r="K320" t="s">
        <v>40</v>
      </c>
      <c r="L320" t="s">
        <v>85</v>
      </c>
    </row>
    <row r="321" spans="1:12" x14ac:dyDescent="0.25">
      <c r="A321">
        <v>10320</v>
      </c>
      <c r="B321" s="5">
        <v>46036</v>
      </c>
      <c r="C321" t="s">
        <v>38</v>
      </c>
      <c r="D321" t="s">
        <v>63</v>
      </c>
      <c r="E321" t="s">
        <v>43</v>
      </c>
      <c r="F321" t="s">
        <v>34</v>
      </c>
      <c r="G321">
        <v>6</v>
      </c>
      <c r="H321" s="6">
        <v>35000</v>
      </c>
      <c r="I321" s="6">
        <v>210000</v>
      </c>
      <c r="J321" t="s">
        <v>49</v>
      </c>
      <c r="K321" t="s">
        <v>48</v>
      </c>
      <c r="L321" t="s">
        <v>86</v>
      </c>
    </row>
    <row r="322" spans="1:12" x14ac:dyDescent="0.25">
      <c r="A322">
        <v>10321</v>
      </c>
      <c r="B322" s="5">
        <v>46030</v>
      </c>
      <c r="C322" t="s">
        <v>72</v>
      </c>
      <c r="D322" t="s">
        <v>55</v>
      </c>
      <c r="E322" t="s">
        <v>67</v>
      </c>
      <c r="F322" t="s">
        <v>35</v>
      </c>
      <c r="G322">
        <v>6</v>
      </c>
      <c r="H322" s="6">
        <v>50000</v>
      </c>
      <c r="I322" s="6">
        <v>300000</v>
      </c>
      <c r="J322" t="s">
        <v>64</v>
      </c>
      <c r="K322" t="s">
        <v>40</v>
      </c>
      <c r="L322" t="s">
        <v>85</v>
      </c>
    </row>
    <row r="323" spans="1:12" x14ac:dyDescent="0.25">
      <c r="A323">
        <v>10322</v>
      </c>
      <c r="B323" s="5">
        <v>46070</v>
      </c>
      <c r="C323" t="s">
        <v>72</v>
      </c>
      <c r="D323" t="s">
        <v>70</v>
      </c>
      <c r="E323" t="s">
        <v>67</v>
      </c>
      <c r="F323" t="s">
        <v>35</v>
      </c>
      <c r="G323">
        <v>7</v>
      </c>
      <c r="H323" s="6">
        <v>50000</v>
      </c>
      <c r="I323" s="6">
        <v>350000</v>
      </c>
      <c r="J323" t="s">
        <v>64</v>
      </c>
      <c r="K323" t="s">
        <v>40</v>
      </c>
      <c r="L323" t="s">
        <v>85</v>
      </c>
    </row>
    <row r="324" spans="1:12" x14ac:dyDescent="0.25">
      <c r="A324">
        <v>10323</v>
      </c>
      <c r="B324" s="5">
        <v>46044</v>
      </c>
      <c r="C324" t="s">
        <v>54</v>
      </c>
      <c r="D324" t="s">
        <v>47</v>
      </c>
      <c r="E324" t="s">
        <v>52</v>
      </c>
      <c r="F324" t="s">
        <v>35</v>
      </c>
      <c r="G324">
        <v>2</v>
      </c>
      <c r="H324" s="6">
        <v>30000</v>
      </c>
      <c r="I324" s="6">
        <v>60000</v>
      </c>
      <c r="J324" t="s">
        <v>64</v>
      </c>
      <c r="K324" t="s">
        <v>40</v>
      </c>
      <c r="L324" t="s">
        <v>85</v>
      </c>
    </row>
    <row r="325" spans="1:12" x14ac:dyDescent="0.25">
      <c r="A325">
        <v>10324</v>
      </c>
      <c r="B325" s="5">
        <v>46115</v>
      </c>
      <c r="C325" t="s">
        <v>38</v>
      </c>
      <c r="D325" t="s">
        <v>39</v>
      </c>
      <c r="E325" t="s">
        <v>66</v>
      </c>
      <c r="F325" t="s">
        <v>34</v>
      </c>
      <c r="G325">
        <v>6</v>
      </c>
      <c r="H325" s="6">
        <v>120000</v>
      </c>
      <c r="I325" s="6">
        <v>720000</v>
      </c>
      <c r="J325" t="s">
        <v>41</v>
      </c>
      <c r="K325" t="s">
        <v>56</v>
      </c>
      <c r="L325" t="s">
        <v>86</v>
      </c>
    </row>
    <row r="326" spans="1:12" x14ac:dyDescent="0.25">
      <c r="A326">
        <v>10325</v>
      </c>
      <c r="B326" s="5">
        <v>46049</v>
      </c>
      <c r="C326" t="s">
        <v>46</v>
      </c>
      <c r="D326" t="s">
        <v>39</v>
      </c>
      <c r="E326" t="s">
        <v>61</v>
      </c>
      <c r="F326" t="s">
        <v>36</v>
      </c>
      <c r="G326">
        <v>5</v>
      </c>
      <c r="H326" s="6">
        <v>45000</v>
      </c>
      <c r="I326" s="6">
        <v>225000</v>
      </c>
      <c r="J326" t="s">
        <v>49</v>
      </c>
      <c r="K326" t="s">
        <v>40</v>
      </c>
      <c r="L326" t="s">
        <v>87</v>
      </c>
    </row>
    <row r="327" spans="1:12" x14ac:dyDescent="0.25">
      <c r="A327">
        <v>10326</v>
      </c>
      <c r="B327" s="5">
        <v>46045</v>
      </c>
      <c r="C327" t="s">
        <v>54</v>
      </c>
      <c r="D327" t="s">
        <v>70</v>
      </c>
      <c r="E327" t="s">
        <v>45</v>
      </c>
      <c r="F327" t="s">
        <v>36</v>
      </c>
      <c r="G327">
        <v>1</v>
      </c>
      <c r="H327" s="6">
        <v>140000</v>
      </c>
      <c r="I327" s="6">
        <v>140000</v>
      </c>
      <c r="J327" t="s">
        <v>41</v>
      </c>
      <c r="K327" t="s">
        <v>40</v>
      </c>
      <c r="L327" t="s">
        <v>87</v>
      </c>
    </row>
    <row r="328" spans="1:12" x14ac:dyDescent="0.25">
      <c r="A328">
        <v>10327</v>
      </c>
      <c r="B328" s="5">
        <v>46097</v>
      </c>
      <c r="C328" t="s">
        <v>62</v>
      </c>
      <c r="D328" t="s">
        <v>63</v>
      </c>
      <c r="E328" t="s">
        <v>67</v>
      </c>
      <c r="F328" t="s">
        <v>35</v>
      </c>
      <c r="G328">
        <v>1</v>
      </c>
      <c r="H328" s="6">
        <v>50000</v>
      </c>
      <c r="I328" s="6">
        <v>50000</v>
      </c>
      <c r="J328" t="s">
        <v>41</v>
      </c>
      <c r="K328" t="s">
        <v>40</v>
      </c>
      <c r="L328" t="s">
        <v>85</v>
      </c>
    </row>
    <row r="329" spans="1:12" x14ac:dyDescent="0.25">
      <c r="A329">
        <v>10328</v>
      </c>
      <c r="B329" s="5">
        <v>46066</v>
      </c>
      <c r="C329" t="s">
        <v>46</v>
      </c>
      <c r="D329" t="s">
        <v>55</v>
      </c>
      <c r="E329" t="s">
        <v>51</v>
      </c>
      <c r="F329" t="s">
        <v>34</v>
      </c>
      <c r="G329">
        <v>7</v>
      </c>
      <c r="H329" s="6">
        <v>55000</v>
      </c>
      <c r="I329" s="6">
        <v>385000</v>
      </c>
      <c r="J329" t="s">
        <v>57</v>
      </c>
      <c r="K329" t="s">
        <v>40</v>
      </c>
      <c r="L329" t="s">
        <v>86</v>
      </c>
    </row>
    <row r="330" spans="1:12" x14ac:dyDescent="0.25">
      <c r="A330">
        <v>10329</v>
      </c>
      <c r="B330" s="5">
        <v>46134</v>
      </c>
      <c r="C330" t="s">
        <v>54</v>
      </c>
      <c r="D330" t="s">
        <v>63</v>
      </c>
      <c r="E330" t="s">
        <v>43</v>
      </c>
      <c r="F330" t="s">
        <v>34</v>
      </c>
      <c r="G330">
        <v>3</v>
      </c>
      <c r="H330" s="6">
        <v>35000</v>
      </c>
      <c r="I330" s="6">
        <v>105000</v>
      </c>
      <c r="J330" t="s">
        <v>57</v>
      </c>
      <c r="K330" t="s">
        <v>40</v>
      </c>
      <c r="L330" t="s">
        <v>86</v>
      </c>
    </row>
    <row r="331" spans="1:12" x14ac:dyDescent="0.25">
      <c r="A331">
        <v>10330</v>
      </c>
      <c r="B331" s="5">
        <v>46086</v>
      </c>
      <c r="C331" t="s">
        <v>72</v>
      </c>
      <c r="D331" t="s">
        <v>73</v>
      </c>
      <c r="E331" t="s">
        <v>58</v>
      </c>
      <c r="F331" t="s">
        <v>33</v>
      </c>
      <c r="G331">
        <v>5</v>
      </c>
      <c r="H331" s="6">
        <v>25000</v>
      </c>
      <c r="I331" s="6">
        <v>125000</v>
      </c>
      <c r="J331" t="s">
        <v>64</v>
      </c>
      <c r="K331" t="s">
        <v>40</v>
      </c>
      <c r="L331" t="s">
        <v>84</v>
      </c>
    </row>
    <row r="332" spans="1:12" x14ac:dyDescent="0.25">
      <c r="A332">
        <v>10331</v>
      </c>
      <c r="B332" s="5">
        <v>46057</v>
      </c>
      <c r="C332" t="s">
        <v>54</v>
      </c>
      <c r="D332" t="s">
        <v>39</v>
      </c>
      <c r="E332" t="s">
        <v>66</v>
      </c>
      <c r="F332" t="s">
        <v>34</v>
      </c>
      <c r="G332">
        <v>2</v>
      </c>
      <c r="H332" s="6">
        <v>120000</v>
      </c>
      <c r="I332" s="6">
        <v>240000</v>
      </c>
      <c r="J332" t="s">
        <v>64</v>
      </c>
      <c r="K332" t="s">
        <v>40</v>
      </c>
      <c r="L332" t="s">
        <v>86</v>
      </c>
    </row>
    <row r="333" spans="1:12" x14ac:dyDescent="0.25">
      <c r="A333">
        <v>10332</v>
      </c>
      <c r="B333" s="5">
        <v>46108</v>
      </c>
      <c r="C333" t="s">
        <v>62</v>
      </c>
      <c r="D333" t="s">
        <v>73</v>
      </c>
      <c r="E333" t="s">
        <v>61</v>
      </c>
      <c r="F333" t="s">
        <v>36</v>
      </c>
      <c r="G333">
        <v>8</v>
      </c>
      <c r="H333" s="6">
        <v>45000</v>
      </c>
      <c r="I333" s="6">
        <v>360000</v>
      </c>
      <c r="J333" t="s">
        <v>49</v>
      </c>
      <c r="K333" t="s">
        <v>40</v>
      </c>
      <c r="L333" t="s">
        <v>87</v>
      </c>
    </row>
    <row r="334" spans="1:12" x14ac:dyDescent="0.25">
      <c r="A334">
        <v>10333</v>
      </c>
      <c r="B334" s="5">
        <v>46068</v>
      </c>
      <c r="C334" t="s">
        <v>62</v>
      </c>
      <c r="D334" t="s">
        <v>55</v>
      </c>
      <c r="E334" t="s">
        <v>66</v>
      </c>
      <c r="F334" t="s">
        <v>34</v>
      </c>
      <c r="G334">
        <v>6</v>
      </c>
      <c r="H334" s="6">
        <v>120000</v>
      </c>
      <c r="I334" s="6">
        <v>720000</v>
      </c>
      <c r="J334" t="s">
        <v>57</v>
      </c>
      <c r="K334" t="s">
        <v>40</v>
      </c>
      <c r="L334" t="s">
        <v>86</v>
      </c>
    </row>
    <row r="335" spans="1:12" x14ac:dyDescent="0.25">
      <c r="A335">
        <v>10334</v>
      </c>
      <c r="B335" s="5">
        <v>46119</v>
      </c>
      <c r="C335" t="s">
        <v>54</v>
      </c>
      <c r="D335" t="s">
        <v>63</v>
      </c>
      <c r="E335" t="s">
        <v>53</v>
      </c>
      <c r="F335" t="s">
        <v>36</v>
      </c>
      <c r="G335">
        <v>6</v>
      </c>
      <c r="H335" s="6">
        <v>180000</v>
      </c>
      <c r="I335" s="6">
        <v>1080000</v>
      </c>
      <c r="J335" t="s">
        <v>57</v>
      </c>
      <c r="K335" t="s">
        <v>40</v>
      </c>
      <c r="L335" t="s">
        <v>87</v>
      </c>
    </row>
    <row r="336" spans="1:12" x14ac:dyDescent="0.25">
      <c r="A336">
        <v>10335</v>
      </c>
      <c r="B336" s="5">
        <v>46209</v>
      </c>
      <c r="C336" t="s">
        <v>62</v>
      </c>
      <c r="D336" t="s">
        <v>73</v>
      </c>
      <c r="E336" t="s">
        <v>51</v>
      </c>
      <c r="F336" t="s">
        <v>34</v>
      </c>
      <c r="G336">
        <v>1</v>
      </c>
      <c r="H336" s="6">
        <v>55000</v>
      </c>
      <c r="I336" s="6">
        <v>55000</v>
      </c>
      <c r="J336" t="s">
        <v>49</v>
      </c>
      <c r="K336" t="s">
        <v>40</v>
      </c>
      <c r="L336" t="s">
        <v>86</v>
      </c>
    </row>
    <row r="337" spans="1:12" x14ac:dyDescent="0.25">
      <c r="A337">
        <v>10336</v>
      </c>
      <c r="B337" s="5">
        <v>46195</v>
      </c>
      <c r="C337" t="s">
        <v>62</v>
      </c>
      <c r="D337" t="s">
        <v>47</v>
      </c>
      <c r="E337" t="s">
        <v>44</v>
      </c>
      <c r="F337" t="s">
        <v>35</v>
      </c>
      <c r="G337">
        <v>7</v>
      </c>
      <c r="H337" s="6">
        <v>90000</v>
      </c>
      <c r="I337" s="6">
        <v>630000</v>
      </c>
      <c r="J337" t="s">
        <v>57</v>
      </c>
      <c r="K337" t="s">
        <v>40</v>
      </c>
      <c r="L337" t="s">
        <v>85</v>
      </c>
    </row>
    <row r="338" spans="1:12" x14ac:dyDescent="0.25">
      <c r="A338">
        <v>10337</v>
      </c>
      <c r="B338" s="5">
        <v>46041</v>
      </c>
      <c r="C338" t="s">
        <v>62</v>
      </c>
      <c r="D338" t="s">
        <v>70</v>
      </c>
      <c r="E338" t="s">
        <v>66</v>
      </c>
      <c r="F338" t="s">
        <v>34</v>
      </c>
      <c r="G338">
        <v>7</v>
      </c>
      <c r="H338" s="6">
        <v>120000</v>
      </c>
      <c r="I338" s="6">
        <v>840000</v>
      </c>
      <c r="J338" t="s">
        <v>64</v>
      </c>
      <c r="K338" t="s">
        <v>40</v>
      </c>
      <c r="L338" t="s">
        <v>86</v>
      </c>
    </row>
    <row r="339" spans="1:12" x14ac:dyDescent="0.25">
      <c r="A339">
        <v>10338</v>
      </c>
      <c r="B339" s="5">
        <v>46202</v>
      </c>
      <c r="C339" t="s">
        <v>69</v>
      </c>
      <c r="D339" t="s">
        <v>70</v>
      </c>
      <c r="E339" t="s">
        <v>45</v>
      </c>
      <c r="F339" t="s">
        <v>36</v>
      </c>
      <c r="G339">
        <v>6</v>
      </c>
      <c r="H339" s="6">
        <v>140000</v>
      </c>
      <c r="I339" s="6">
        <v>840000</v>
      </c>
      <c r="J339" t="s">
        <v>41</v>
      </c>
      <c r="K339" t="s">
        <v>40</v>
      </c>
      <c r="L339" t="s">
        <v>87</v>
      </c>
    </row>
    <row r="340" spans="1:12" x14ac:dyDescent="0.25">
      <c r="A340">
        <v>10339</v>
      </c>
      <c r="B340" s="5">
        <v>46188</v>
      </c>
      <c r="C340" t="s">
        <v>69</v>
      </c>
      <c r="D340" t="s">
        <v>39</v>
      </c>
      <c r="E340" t="s">
        <v>59</v>
      </c>
      <c r="F340" t="s">
        <v>34</v>
      </c>
      <c r="G340">
        <v>3</v>
      </c>
      <c r="H340" s="6">
        <v>70000</v>
      </c>
      <c r="I340" s="6">
        <v>210000</v>
      </c>
      <c r="J340" t="s">
        <v>64</v>
      </c>
      <c r="K340" t="s">
        <v>56</v>
      </c>
      <c r="L340" t="s">
        <v>86</v>
      </c>
    </row>
    <row r="341" spans="1:12" x14ac:dyDescent="0.25">
      <c r="A341">
        <v>10340</v>
      </c>
      <c r="B341" s="5">
        <v>46025</v>
      </c>
      <c r="C341" t="s">
        <v>38</v>
      </c>
      <c r="D341" t="s">
        <v>55</v>
      </c>
      <c r="E341" t="s">
        <v>67</v>
      </c>
      <c r="F341" t="s">
        <v>35</v>
      </c>
      <c r="G341">
        <v>2</v>
      </c>
      <c r="H341" s="6">
        <v>50000</v>
      </c>
      <c r="I341" s="6">
        <v>100000</v>
      </c>
      <c r="J341" t="s">
        <v>49</v>
      </c>
      <c r="K341" t="s">
        <v>40</v>
      </c>
      <c r="L341" t="s">
        <v>85</v>
      </c>
    </row>
    <row r="342" spans="1:12" x14ac:dyDescent="0.25">
      <c r="A342">
        <v>10341</v>
      </c>
      <c r="B342" s="5">
        <v>46123</v>
      </c>
      <c r="C342" t="s">
        <v>62</v>
      </c>
      <c r="D342" t="s">
        <v>73</v>
      </c>
      <c r="E342" t="s">
        <v>66</v>
      </c>
      <c r="F342" t="s">
        <v>34</v>
      </c>
      <c r="G342">
        <v>6</v>
      </c>
      <c r="H342" s="6">
        <v>120000</v>
      </c>
      <c r="I342" s="6">
        <v>720000</v>
      </c>
      <c r="J342" t="s">
        <v>49</v>
      </c>
      <c r="K342" t="s">
        <v>40</v>
      </c>
      <c r="L342" t="s">
        <v>86</v>
      </c>
    </row>
    <row r="343" spans="1:12" x14ac:dyDescent="0.25">
      <c r="A343">
        <v>10342</v>
      </c>
      <c r="B343" s="5">
        <v>46098</v>
      </c>
      <c r="C343" t="s">
        <v>62</v>
      </c>
      <c r="D343" t="s">
        <v>39</v>
      </c>
      <c r="E343" t="s">
        <v>65</v>
      </c>
      <c r="F343" t="s">
        <v>33</v>
      </c>
      <c r="G343">
        <v>2</v>
      </c>
      <c r="H343" s="6">
        <v>180000</v>
      </c>
      <c r="I343" s="6">
        <v>360000</v>
      </c>
      <c r="J343" t="s">
        <v>41</v>
      </c>
      <c r="K343" t="s">
        <v>48</v>
      </c>
      <c r="L343" t="s">
        <v>84</v>
      </c>
    </row>
    <row r="344" spans="1:12" x14ac:dyDescent="0.25">
      <c r="A344">
        <v>10343</v>
      </c>
      <c r="B344" s="5">
        <v>46110</v>
      </c>
      <c r="C344" t="s">
        <v>62</v>
      </c>
      <c r="D344" t="s">
        <v>47</v>
      </c>
      <c r="E344" t="s">
        <v>59</v>
      </c>
      <c r="F344" t="s">
        <v>34</v>
      </c>
      <c r="G344">
        <v>5</v>
      </c>
      <c r="H344" s="6">
        <v>70000</v>
      </c>
      <c r="I344" s="6">
        <v>350000</v>
      </c>
      <c r="J344" t="s">
        <v>64</v>
      </c>
      <c r="K344" t="s">
        <v>40</v>
      </c>
      <c r="L344" t="s">
        <v>86</v>
      </c>
    </row>
    <row r="345" spans="1:12" x14ac:dyDescent="0.25">
      <c r="A345">
        <v>10344</v>
      </c>
      <c r="B345" s="5">
        <v>46104</v>
      </c>
      <c r="C345" t="s">
        <v>38</v>
      </c>
      <c r="D345" t="s">
        <v>55</v>
      </c>
      <c r="E345" t="s">
        <v>65</v>
      </c>
      <c r="F345" t="s">
        <v>33</v>
      </c>
      <c r="G345">
        <v>8</v>
      </c>
      <c r="H345" s="6">
        <v>180000</v>
      </c>
      <c r="I345" s="6">
        <v>1440000</v>
      </c>
      <c r="J345" t="s">
        <v>41</v>
      </c>
      <c r="K345" t="s">
        <v>48</v>
      </c>
      <c r="L345" t="s">
        <v>84</v>
      </c>
    </row>
    <row r="346" spans="1:12" x14ac:dyDescent="0.25">
      <c r="A346">
        <v>10345</v>
      </c>
      <c r="B346" s="5">
        <v>46188</v>
      </c>
      <c r="C346" t="s">
        <v>38</v>
      </c>
      <c r="D346" t="s">
        <v>73</v>
      </c>
      <c r="E346" t="s">
        <v>42</v>
      </c>
      <c r="F346" t="s">
        <v>33</v>
      </c>
      <c r="G346">
        <v>6</v>
      </c>
      <c r="H346" s="6">
        <v>650000</v>
      </c>
      <c r="I346" s="6">
        <v>3900000</v>
      </c>
      <c r="J346" t="s">
        <v>49</v>
      </c>
      <c r="K346" t="s">
        <v>48</v>
      </c>
      <c r="L346" t="s">
        <v>84</v>
      </c>
    </row>
    <row r="347" spans="1:12" x14ac:dyDescent="0.25">
      <c r="A347">
        <v>10346</v>
      </c>
      <c r="B347" s="5">
        <v>46107</v>
      </c>
      <c r="C347" t="s">
        <v>69</v>
      </c>
      <c r="D347" t="s">
        <v>63</v>
      </c>
      <c r="E347" t="s">
        <v>51</v>
      </c>
      <c r="F347" t="s">
        <v>34</v>
      </c>
      <c r="G347">
        <v>3</v>
      </c>
      <c r="H347" s="6">
        <v>55000</v>
      </c>
      <c r="I347" s="6">
        <v>165000</v>
      </c>
      <c r="J347" t="s">
        <v>64</v>
      </c>
      <c r="K347" t="s">
        <v>40</v>
      </c>
      <c r="L347" t="s">
        <v>86</v>
      </c>
    </row>
    <row r="348" spans="1:12" x14ac:dyDescent="0.25">
      <c r="A348">
        <v>10347</v>
      </c>
      <c r="B348" s="5">
        <v>46186</v>
      </c>
      <c r="C348" t="s">
        <v>72</v>
      </c>
      <c r="D348" t="s">
        <v>63</v>
      </c>
      <c r="E348" t="s">
        <v>53</v>
      </c>
      <c r="F348" t="s">
        <v>36</v>
      </c>
      <c r="G348">
        <v>3</v>
      </c>
      <c r="H348" s="6">
        <v>180000</v>
      </c>
      <c r="I348" s="6">
        <v>540000</v>
      </c>
      <c r="J348" t="s">
        <v>64</v>
      </c>
      <c r="K348" t="s">
        <v>40</v>
      </c>
      <c r="L348" t="s">
        <v>87</v>
      </c>
    </row>
    <row r="349" spans="1:12" x14ac:dyDescent="0.25">
      <c r="A349">
        <v>10348</v>
      </c>
      <c r="B349" s="5">
        <v>46122</v>
      </c>
      <c r="C349" t="s">
        <v>38</v>
      </c>
      <c r="D349" t="s">
        <v>73</v>
      </c>
      <c r="E349" t="s">
        <v>66</v>
      </c>
      <c r="F349" t="s">
        <v>34</v>
      </c>
      <c r="G349">
        <v>7</v>
      </c>
      <c r="H349" s="6">
        <v>120000</v>
      </c>
      <c r="I349" s="6">
        <v>840000</v>
      </c>
      <c r="J349" t="s">
        <v>49</v>
      </c>
      <c r="K349" t="s">
        <v>40</v>
      </c>
      <c r="L349" t="s">
        <v>86</v>
      </c>
    </row>
    <row r="350" spans="1:12" x14ac:dyDescent="0.25">
      <c r="A350">
        <v>10349</v>
      </c>
      <c r="B350" s="5">
        <v>46227</v>
      </c>
      <c r="C350" t="s">
        <v>69</v>
      </c>
      <c r="D350" t="s">
        <v>47</v>
      </c>
      <c r="E350" t="s">
        <v>71</v>
      </c>
      <c r="F350" t="s">
        <v>33</v>
      </c>
      <c r="G350">
        <v>2</v>
      </c>
      <c r="H350" s="6">
        <v>45000</v>
      </c>
      <c r="I350" s="6">
        <v>90000</v>
      </c>
      <c r="J350" t="s">
        <v>57</v>
      </c>
      <c r="K350" t="s">
        <v>40</v>
      </c>
      <c r="L350" t="s">
        <v>84</v>
      </c>
    </row>
    <row r="351" spans="1:12" x14ac:dyDescent="0.25">
      <c r="A351">
        <v>10350</v>
      </c>
      <c r="B351" s="5">
        <v>46194</v>
      </c>
      <c r="C351" t="s">
        <v>62</v>
      </c>
      <c r="D351" t="s">
        <v>70</v>
      </c>
      <c r="E351" t="s">
        <v>45</v>
      </c>
      <c r="F351" t="s">
        <v>36</v>
      </c>
      <c r="G351">
        <v>5</v>
      </c>
      <c r="H351" s="6">
        <v>140000</v>
      </c>
      <c r="I351" s="6">
        <v>700000</v>
      </c>
      <c r="J351" t="s">
        <v>57</v>
      </c>
      <c r="K351" t="s">
        <v>40</v>
      </c>
      <c r="L351" t="s">
        <v>87</v>
      </c>
    </row>
    <row r="352" spans="1:12" x14ac:dyDescent="0.25">
      <c r="A352">
        <v>10351</v>
      </c>
      <c r="B352" s="5">
        <v>46113</v>
      </c>
      <c r="C352" t="s">
        <v>62</v>
      </c>
      <c r="D352" t="s">
        <v>70</v>
      </c>
      <c r="E352" t="s">
        <v>45</v>
      </c>
      <c r="F352" t="s">
        <v>36</v>
      </c>
      <c r="G352">
        <v>6</v>
      </c>
      <c r="H352" s="6">
        <v>140000</v>
      </c>
      <c r="I352" s="6">
        <v>840000</v>
      </c>
      <c r="J352" t="s">
        <v>49</v>
      </c>
      <c r="K352" t="s">
        <v>48</v>
      </c>
      <c r="L352" t="s">
        <v>87</v>
      </c>
    </row>
    <row r="353" spans="1:12" x14ac:dyDescent="0.25">
      <c r="A353">
        <v>10352</v>
      </c>
      <c r="B353" s="5">
        <v>46103</v>
      </c>
      <c r="C353" t="s">
        <v>38</v>
      </c>
      <c r="D353" t="s">
        <v>47</v>
      </c>
      <c r="E353" t="s">
        <v>44</v>
      </c>
      <c r="F353" t="s">
        <v>35</v>
      </c>
      <c r="G353">
        <v>3</v>
      </c>
      <c r="H353" s="6">
        <v>90000</v>
      </c>
      <c r="I353" s="6">
        <v>270000</v>
      </c>
      <c r="J353" t="s">
        <v>57</v>
      </c>
      <c r="K353" t="s">
        <v>40</v>
      </c>
      <c r="L353" t="s">
        <v>85</v>
      </c>
    </row>
    <row r="354" spans="1:12" x14ac:dyDescent="0.25">
      <c r="A354">
        <v>10353</v>
      </c>
      <c r="B354" s="5">
        <v>46130</v>
      </c>
      <c r="C354" t="s">
        <v>69</v>
      </c>
      <c r="D354" t="s">
        <v>47</v>
      </c>
      <c r="E354" t="s">
        <v>52</v>
      </c>
      <c r="F354" t="s">
        <v>35</v>
      </c>
      <c r="G354">
        <v>7</v>
      </c>
      <c r="H354" s="6">
        <v>30000</v>
      </c>
      <c r="I354" s="6">
        <v>210000</v>
      </c>
      <c r="J354" t="s">
        <v>64</v>
      </c>
      <c r="K354" t="s">
        <v>40</v>
      </c>
      <c r="L354" t="s">
        <v>85</v>
      </c>
    </row>
    <row r="355" spans="1:12" x14ac:dyDescent="0.25">
      <c r="A355">
        <v>10354</v>
      </c>
      <c r="B355" s="5">
        <v>46148</v>
      </c>
      <c r="C355" t="s">
        <v>54</v>
      </c>
      <c r="D355" t="s">
        <v>47</v>
      </c>
      <c r="E355" t="s">
        <v>53</v>
      </c>
      <c r="F355" t="s">
        <v>36</v>
      </c>
      <c r="G355">
        <v>3</v>
      </c>
      <c r="H355" s="6">
        <v>180000</v>
      </c>
      <c r="I355" s="6">
        <v>540000</v>
      </c>
      <c r="J355" t="s">
        <v>49</v>
      </c>
      <c r="K355" t="s">
        <v>40</v>
      </c>
      <c r="L355" t="s">
        <v>87</v>
      </c>
    </row>
    <row r="356" spans="1:12" x14ac:dyDescent="0.25">
      <c r="A356">
        <v>10355</v>
      </c>
      <c r="B356" s="5">
        <v>46025</v>
      </c>
      <c r="C356" t="s">
        <v>62</v>
      </c>
      <c r="D356" t="s">
        <v>47</v>
      </c>
      <c r="E356" t="s">
        <v>45</v>
      </c>
      <c r="F356" t="s">
        <v>36</v>
      </c>
      <c r="G356">
        <v>6</v>
      </c>
      <c r="H356" s="6">
        <v>140000</v>
      </c>
      <c r="I356" s="6">
        <v>840000</v>
      </c>
      <c r="J356" t="s">
        <v>49</v>
      </c>
      <c r="K356" t="s">
        <v>48</v>
      </c>
      <c r="L356" t="s">
        <v>87</v>
      </c>
    </row>
    <row r="357" spans="1:12" x14ac:dyDescent="0.25">
      <c r="A357">
        <v>10356</v>
      </c>
      <c r="B357" s="5">
        <v>46129</v>
      </c>
      <c r="C357" t="s">
        <v>72</v>
      </c>
      <c r="D357" t="s">
        <v>63</v>
      </c>
      <c r="E357" t="s">
        <v>68</v>
      </c>
      <c r="F357" t="s">
        <v>36</v>
      </c>
      <c r="G357">
        <v>8</v>
      </c>
      <c r="H357" s="6">
        <v>18000</v>
      </c>
      <c r="I357" s="6">
        <v>144000</v>
      </c>
      <c r="J357" t="s">
        <v>64</v>
      </c>
      <c r="K357" t="s">
        <v>40</v>
      </c>
      <c r="L357" t="s">
        <v>87</v>
      </c>
    </row>
    <row r="358" spans="1:12" x14ac:dyDescent="0.25">
      <c r="A358">
        <v>10357</v>
      </c>
      <c r="B358" s="5">
        <v>46031</v>
      </c>
      <c r="C358" t="s">
        <v>54</v>
      </c>
      <c r="D358" t="s">
        <v>47</v>
      </c>
      <c r="E358" t="s">
        <v>50</v>
      </c>
      <c r="F358" t="s">
        <v>33</v>
      </c>
      <c r="G358">
        <v>5</v>
      </c>
      <c r="H358" s="6">
        <v>12000</v>
      </c>
      <c r="I358" s="6">
        <v>60000</v>
      </c>
      <c r="J358" t="s">
        <v>57</v>
      </c>
      <c r="K358" t="s">
        <v>40</v>
      </c>
      <c r="L358" t="s">
        <v>84</v>
      </c>
    </row>
    <row r="359" spans="1:12" x14ac:dyDescent="0.25">
      <c r="A359">
        <v>10358</v>
      </c>
      <c r="B359" s="5">
        <v>46169</v>
      </c>
      <c r="C359" t="s">
        <v>38</v>
      </c>
      <c r="D359" t="s">
        <v>55</v>
      </c>
      <c r="E359" t="s">
        <v>68</v>
      </c>
      <c r="F359" t="s">
        <v>36</v>
      </c>
      <c r="G359">
        <v>2</v>
      </c>
      <c r="H359" s="6">
        <v>18000</v>
      </c>
      <c r="I359" s="6">
        <v>36000</v>
      </c>
      <c r="J359" t="s">
        <v>57</v>
      </c>
      <c r="K359" t="s">
        <v>40</v>
      </c>
      <c r="L359" t="s">
        <v>87</v>
      </c>
    </row>
    <row r="360" spans="1:12" x14ac:dyDescent="0.25">
      <c r="A360">
        <v>10359</v>
      </c>
      <c r="B360" s="5">
        <v>46162</v>
      </c>
      <c r="C360" t="s">
        <v>46</v>
      </c>
      <c r="D360" t="s">
        <v>63</v>
      </c>
      <c r="E360" t="s">
        <v>74</v>
      </c>
      <c r="F360" t="s">
        <v>33</v>
      </c>
      <c r="G360">
        <v>8</v>
      </c>
      <c r="H360" s="6">
        <v>220000</v>
      </c>
      <c r="I360" s="6">
        <v>1760000</v>
      </c>
      <c r="J360" t="s">
        <v>41</v>
      </c>
      <c r="K360" t="s">
        <v>40</v>
      </c>
      <c r="L360" t="s">
        <v>84</v>
      </c>
    </row>
    <row r="361" spans="1:12" x14ac:dyDescent="0.25">
      <c r="A361">
        <v>10360</v>
      </c>
      <c r="B361" s="5">
        <v>46138</v>
      </c>
      <c r="C361" t="s">
        <v>54</v>
      </c>
      <c r="D361" t="s">
        <v>55</v>
      </c>
      <c r="E361" t="s">
        <v>59</v>
      </c>
      <c r="F361" t="s">
        <v>34</v>
      </c>
      <c r="G361">
        <v>1</v>
      </c>
      <c r="H361" s="6">
        <v>70000</v>
      </c>
      <c r="I361" s="6">
        <v>70000</v>
      </c>
      <c r="J361" t="s">
        <v>41</v>
      </c>
      <c r="K361" t="s">
        <v>40</v>
      </c>
      <c r="L361" t="s">
        <v>86</v>
      </c>
    </row>
    <row r="362" spans="1:12" x14ac:dyDescent="0.25">
      <c r="A362">
        <v>10361</v>
      </c>
      <c r="B362" s="5">
        <v>46230</v>
      </c>
      <c r="C362" t="s">
        <v>72</v>
      </c>
      <c r="D362" t="s">
        <v>70</v>
      </c>
      <c r="E362" t="s">
        <v>50</v>
      </c>
      <c r="F362" t="s">
        <v>33</v>
      </c>
      <c r="G362">
        <v>4</v>
      </c>
      <c r="H362" s="6">
        <v>12000</v>
      </c>
      <c r="I362" s="6">
        <v>48000</v>
      </c>
      <c r="J362" t="s">
        <v>57</v>
      </c>
      <c r="K362" t="s">
        <v>48</v>
      </c>
      <c r="L362" t="s">
        <v>84</v>
      </c>
    </row>
    <row r="363" spans="1:12" x14ac:dyDescent="0.25">
      <c r="A363">
        <v>10362</v>
      </c>
      <c r="B363" s="5">
        <v>46223</v>
      </c>
      <c r="C363" t="s">
        <v>46</v>
      </c>
      <c r="D363" t="s">
        <v>47</v>
      </c>
      <c r="E363" t="s">
        <v>53</v>
      </c>
      <c r="F363" t="s">
        <v>36</v>
      </c>
      <c r="G363">
        <v>3</v>
      </c>
      <c r="H363" s="6">
        <v>180000</v>
      </c>
      <c r="I363" s="6">
        <v>540000</v>
      </c>
      <c r="J363" t="s">
        <v>41</v>
      </c>
      <c r="K363" t="s">
        <v>40</v>
      </c>
      <c r="L363" t="s">
        <v>87</v>
      </c>
    </row>
    <row r="364" spans="1:12" x14ac:dyDescent="0.25">
      <c r="A364">
        <v>10363</v>
      </c>
      <c r="B364" s="5">
        <v>46203</v>
      </c>
      <c r="C364" t="s">
        <v>54</v>
      </c>
      <c r="D364" t="s">
        <v>55</v>
      </c>
      <c r="E364" t="s">
        <v>52</v>
      </c>
      <c r="F364" t="s">
        <v>35</v>
      </c>
      <c r="G364">
        <v>6</v>
      </c>
      <c r="H364" s="6">
        <v>30000</v>
      </c>
      <c r="I364" s="6">
        <v>180000</v>
      </c>
      <c r="J364" t="s">
        <v>57</v>
      </c>
      <c r="K364" t="s">
        <v>56</v>
      </c>
      <c r="L364" t="s">
        <v>85</v>
      </c>
    </row>
    <row r="365" spans="1:12" x14ac:dyDescent="0.25">
      <c r="A365">
        <v>10364</v>
      </c>
      <c r="B365" s="5">
        <v>46258</v>
      </c>
      <c r="C365" t="s">
        <v>38</v>
      </c>
      <c r="D365" t="s">
        <v>55</v>
      </c>
      <c r="E365" t="s">
        <v>50</v>
      </c>
      <c r="F365" t="s">
        <v>33</v>
      </c>
      <c r="G365">
        <v>7</v>
      </c>
      <c r="H365" s="6">
        <v>12000</v>
      </c>
      <c r="I365" s="6">
        <v>84000</v>
      </c>
      <c r="J365" t="s">
        <v>49</v>
      </c>
      <c r="K365" t="s">
        <v>40</v>
      </c>
      <c r="L365" t="s">
        <v>84</v>
      </c>
    </row>
    <row r="366" spans="1:12" x14ac:dyDescent="0.25">
      <c r="A366">
        <v>10365</v>
      </c>
      <c r="B366" s="5">
        <v>46205</v>
      </c>
      <c r="C366" t="s">
        <v>54</v>
      </c>
      <c r="D366" t="s">
        <v>47</v>
      </c>
      <c r="E366" t="s">
        <v>51</v>
      </c>
      <c r="F366" t="s">
        <v>34</v>
      </c>
      <c r="G366">
        <v>3</v>
      </c>
      <c r="H366" s="6">
        <v>55000</v>
      </c>
      <c r="I366" s="6">
        <v>165000</v>
      </c>
      <c r="J366" t="s">
        <v>64</v>
      </c>
      <c r="K366" t="s">
        <v>40</v>
      </c>
      <c r="L366" t="s">
        <v>86</v>
      </c>
    </row>
    <row r="367" spans="1:12" x14ac:dyDescent="0.25">
      <c r="A367">
        <v>10366</v>
      </c>
      <c r="B367" s="5">
        <v>46138</v>
      </c>
      <c r="C367" t="s">
        <v>38</v>
      </c>
      <c r="D367" t="s">
        <v>73</v>
      </c>
      <c r="E367" t="s">
        <v>67</v>
      </c>
      <c r="F367" t="s">
        <v>35</v>
      </c>
      <c r="G367">
        <v>7</v>
      </c>
      <c r="H367" s="6">
        <v>50000</v>
      </c>
      <c r="I367" s="6">
        <v>350000</v>
      </c>
      <c r="J367" t="s">
        <v>41</v>
      </c>
      <c r="K367" t="s">
        <v>40</v>
      </c>
      <c r="L367" t="s">
        <v>85</v>
      </c>
    </row>
    <row r="368" spans="1:12" x14ac:dyDescent="0.25">
      <c r="A368">
        <v>10367</v>
      </c>
      <c r="B368" s="5">
        <v>46147</v>
      </c>
      <c r="C368" t="s">
        <v>54</v>
      </c>
      <c r="D368" t="s">
        <v>70</v>
      </c>
      <c r="E368" t="s">
        <v>60</v>
      </c>
      <c r="F368" t="s">
        <v>35</v>
      </c>
      <c r="G368">
        <v>8</v>
      </c>
      <c r="H368" s="6">
        <v>65000</v>
      </c>
      <c r="I368" s="6">
        <v>520000</v>
      </c>
      <c r="J368" t="s">
        <v>41</v>
      </c>
      <c r="K368" t="s">
        <v>48</v>
      </c>
      <c r="L368" t="s">
        <v>85</v>
      </c>
    </row>
    <row r="369" spans="1:12" x14ac:dyDescent="0.25">
      <c r="A369">
        <v>10368</v>
      </c>
      <c r="B369" s="5">
        <v>46185</v>
      </c>
      <c r="C369" t="s">
        <v>72</v>
      </c>
      <c r="D369" t="s">
        <v>73</v>
      </c>
      <c r="E369" t="s">
        <v>74</v>
      </c>
      <c r="F369" t="s">
        <v>33</v>
      </c>
      <c r="G369">
        <v>8</v>
      </c>
      <c r="H369" s="6">
        <v>220000</v>
      </c>
      <c r="I369" s="6">
        <v>1760000</v>
      </c>
      <c r="J369" t="s">
        <v>57</v>
      </c>
      <c r="K369" t="s">
        <v>48</v>
      </c>
      <c r="L369" t="s">
        <v>84</v>
      </c>
    </row>
    <row r="370" spans="1:12" x14ac:dyDescent="0.25">
      <c r="A370">
        <v>10369</v>
      </c>
      <c r="B370" s="5">
        <v>46234</v>
      </c>
      <c r="C370" t="s">
        <v>46</v>
      </c>
      <c r="D370" t="s">
        <v>63</v>
      </c>
      <c r="E370" t="s">
        <v>53</v>
      </c>
      <c r="F370" t="s">
        <v>36</v>
      </c>
      <c r="G370">
        <v>7</v>
      </c>
      <c r="H370" s="6">
        <v>180000</v>
      </c>
      <c r="I370" s="6">
        <v>1260000</v>
      </c>
      <c r="J370" t="s">
        <v>57</v>
      </c>
      <c r="K370" t="s">
        <v>40</v>
      </c>
      <c r="L370" t="s">
        <v>87</v>
      </c>
    </row>
    <row r="371" spans="1:12" x14ac:dyDescent="0.25">
      <c r="A371">
        <v>10370</v>
      </c>
      <c r="B371" s="5">
        <v>46167</v>
      </c>
      <c r="C371" t="s">
        <v>62</v>
      </c>
      <c r="D371" t="s">
        <v>55</v>
      </c>
      <c r="E371" t="s">
        <v>60</v>
      </c>
      <c r="F371" t="s">
        <v>35</v>
      </c>
      <c r="G371">
        <v>3</v>
      </c>
      <c r="H371" s="6">
        <v>65000</v>
      </c>
      <c r="I371" s="6">
        <v>195000</v>
      </c>
      <c r="J371" t="s">
        <v>41</v>
      </c>
      <c r="K371" t="s">
        <v>40</v>
      </c>
      <c r="L371" t="s">
        <v>85</v>
      </c>
    </row>
    <row r="372" spans="1:12" x14ac:dyDescent="0.25">
      <c r="A372">
        <v>10371</v>
      </c>
      <c r="B372" s="5">
        <v>46260</v>
      </c>
      <c r="C372" t="s">
        <v>46</v>
      </c>
      <c r="D372" t="s">
        <v>63</v>
      </c>
      <c r="E372" t="s">
        <v>45</v>
      </c>
      <c r="F372" t="s">
        <v>36</v>
      </c>
      <c r="G372">
        <v>2</v>
      </c>
      <c r="H372" s="6">
        <v>140000</v>
      </c>
      <c r="I372" s="6">
        <v>280000</v>
      </c>
      <c r="J372" t="s">
        <v>64</v>
      </c>
      <c r="K372" t="s">
        <v>40</v>
      </c>
      <c r="L372" t="s">
        <v>87</v>
      </c>
    </row>
    <row r="373" spans="1:12" x14ac:dyDescent="0.25">
      <c r="A373">
        <v>10372</v>
      </c>
      <c r="B373" s="5">
        <v>46248</v>
      </c>
      <c r="C373" t="s">
        <v>72</v>
      </c>
      <c r="D373" t="s">
        <v>55</v>
      </c>
      <c r="E373" t="s">
        <v>53</v>
      </c>
      <c r="F373" t="s">
        <v>36</v>
      </c>
      <c r="G373">
        <v>3</v>
      </c>
      <c r="H373" s="6">
        <v>180000</v>
      </c>
      <c r="I373" s="6">
        <v>540000</v>
      </c>
      <c r="J373" t="s">
        <v>49</v>
      </c>
      <c r="K373" t="s">
        <v>48</v>
      </c>
      <c r="L373" t="s">
        <v>87</v>
      </c>
    </row>
    <row r="374" spans="1:12" x14ac:dyDescent="0.25">
      <c r="A374">
        <v>10373</v>
      </c>
      <c r="B374" s="5">
        <v>46087</v>
      </c>
      <c r="C374" t="s">
        <v>38</v>
      </c>
      <c r="D374" t="s">
        <v>55</v>
      </c>
      <c r="E374" t="s">
        <v>44</v>
      </c>
      <c r="F374" t="s">
        <v>35</v>
      </c>
      <c r="G374">
        <v>6</v>
      </c>
      <c r="H374" s="6">
        <v>90000</v>
      </c>
      <c r="I374" s="6">
        <v>540000</v>
      </c>
      <c r="J374" t="s">
        <v>49</v>
      </c>
      <c r="K374" t="s">
        <v>40</v>
      </c>
      <c r="L374" t="s">
        <v>85</v>
      </c>
    </row>
    <row r="375" spans="1:12" x14ac:dyDescent="0.25">
      <c r="A375">
        <v>10374</v>
      </c>
      <c r="B375" s="5">
        <v>46190</v>
      </c>
      <c r="C375" t="s">
        <v>38</v>
      </c>
      <c r="D375" t="s">
        <v>73</v>
      </c>
      <c r="E375" t="s">
        <v>52</v>
      </c>
      <c r="F375" t="s">
        <v>35</v>
      </c>
      <c r="G375">
        <v>7</v>
      </c>
      <c r="H375" s="6">
        <v>30000</v>
      </c>
      <c r="I375" s="6">
        <v>210000</v>
      </c>
      <c r="J375" t="s">
        <v>41</v>
      </c>
      <c r="K375" t="s">
        <v>40</v>
      </c>
      <c r="L375" t="s">
        <v>85</v>
      </c>
    </row>
    <row r="376" spans="1:12" x14ac:dyDescent="0.25">
      <c r="A376">
        <v>10375</v>
      </c>
      <c r="B376" s="5">
        <v>46174</v>
      </c>
      <c r="C376" t="s">
        <v>46</v>
      </c>
      <c r="D376" t="s">
        <v>70</v>
      </c>
      <c r="E376" t="s">
        <v>45</v>
      </c>
      <c r="F376" t="s">
        <v>36</v>
      </c>
      <c r="G376">
        <v>3</v>
      </c>
      <c r="H376" s="6">
        <v>140000</v>
      </c>
      <c r="I376" s="6">
        <v>420000</v>
      </c>
      <c r="J376" t="s">
        <v>64</v>
      </c>
      <c r="K376" t="s">
        <v>40</v>
      </c>
      <c r="L376" t="s">
        <v>87</v>
      </c>
    </row>
    <row r="377" spans="1:12" x14ac:dyDescent="0.25">
      <c r="A377">
        <v>10376</v>
      </c>
      <c r="B377" s="5">
        <v>46200</v>
      </c>
      <c r="C377" t="s">
        <v>46</v>
      </c>
      <c r="D377" t="s">
        <v>63</v>
      </c>
      <c r="E377" t="s">
        <v>44</v>
      </c>
      <c r="F377" t="s">
        <v>35</v>
      </c>
      <c r="G377">
        <v>7</v>
      </c>
      <c r="H377" s="6">
        <v>90000</v>
      </c>
      <c r="I377" s="6">
        <v>630000</v>
      </c>
      <c r="J377" t="s">
        <v>41</v>
      </c>
      <c r="K377" t="s">
        <v>40</v>
      </c>
      <c r="L377" t="s">
        <v>85</v>
      </c>
    </row>
    <row r="378" spans="1:12" x14ac:dyDescent="0.25">
      <c r="A378">
        <v>10377</v>
      </c>
      <c r="B378" s="5">
        <v>46049</v>
      </c>
      <c r="C378" t="s">
        <v>54</v>
      </c>
      <c r="D378" t="s">
        <v>55</v>
      </c>
      <c r="E378" t="s">
        <v>74</v>
      </c>
      <c r="F378" t="s">
        <v>33</v>
      </c>
      <c r="G378">
        <v>2</v>
      </c>
      <c r="H378" s="6">
        <v>220000</v>
      </c>
      <c r="I378" s="6">
        <v>440000</v>
      </c>
      <c r="J378" t="s">
        <v>57</v>
      </c>
      <c r="K378" t="s">
        <v>40</v>
      </c>
      <c r="L378" t="s">
        <v>84</v>
      </c>
    </row>
    <row r="379" spans="1:12" x14ac:dyDescent="0.25">
      <c r="A379">
        <v>10378</v>
      </c>
      <c r="B379" s="5">
        <v>46158</v>
      </c>
      <c r="C379" t="s">
        <v>69</v>
      </c>
      <c r="D379" t="s">
        <v>39</v>
      </c>
      <c r="E379" t="s">
        <v>51</v>
      </c>
      <c r="F379" t="s">
        <v>34</v>
      </c>
      <c r="G379">
        <v>2</v>
      </c>
      <c r="H379" s="6">
        <v>55000</v>
      </c>
      <c r="I379" s="6">
        <v>110000</v>
      </c>
      <c r="J379" t="s">
        <v>49</v>
      </c>
      <c r="K379" t="s">
        <v>40</v>
      </c>
      <c r="L379" t="s">
        <v>86</v>
      </c>
    </row>
    <row r="380" spans="1:12" x14ac:dyDescent="0.25">
      <c r="A380">
        <v>10379</v>
      </c>
      <c r="B380" s="5">
        <v>46180</v>
      </c>
      <c r="C380" t="s">
        <v>72</v>
      </c>
      <c r="D380" t="s">
        <v>63</v>
      </c>
      <c r="E380" t="s">
        <v>51</v>
      </c>
      <c r="F380" t="s">
        <v>34</v>
      </c>
      <c r="G380">
        <v>7</v>
      </c>
      <c r="H380" s="6">
        <v>55000</v>
      </c>
      <c r="I380" s="6">
        <v>385000</v>
      </c>
      <c r="J380" t="s">
        <v>49</v>
      </c>
      <c r="K380" t="s">
        <v>40</v>
      </c>
      <c r="L380" t="s">
        <v>86</v>
      </c>
    </row>
    <row r="381" spans="1:12" x14ac:dyDescent="0.25">
      <c r="A381">
        <v>10380</v>
      </c>
      <c r="B381" s="5">
        <v>46173</v>
      </c>
      <c r="C381" t="s">
        <v>72</v>
      </c>
      <c r="D381" t="s">
        <v>63</v>
      </c>
      <c r="E381" t="s">
        <v>50</v>
      </c>
      <c r="F381" t="s">
        <v>33</v>
      </c>
      <c r="G381">
        <v>2</v>
      </c>
      <c r="H381" s="6">
        <v>12000</v>
      </c>
      <c r="I381" s="6">
        <v>24000</v>
      </c>
      <c r="J381" t="s">
        <v>57</v>
      </c>
      <c r="K381" t="s">
        <v>56</v>
      </c>
      <c r="L381" t="s">
        <v>84</v>
      </c>
    </row>
    <row r="382" spans="1:12" x14ac:dyDescent="0.25">
      <c r="A382">
        <v>10381</v>
      </c>
      <c r="B382" s="5">
        <v>46093</v>
      </c>
      <c r="C382" t="s">
        <v>72</v>
      </c>
      <c r="D382" t="s">
        <v>39</v>
      </c>
      <c r="E382" t="s">
        <v>52</v>
      </c>
      <c r="F382" t="s">
        <v>35</v>
      </c>
      <c r="G382">
        <v>4</v>
      </c>
      <c r="H382" s="6">
        <v>30000</v>
      </c>
      <c r="I382" s="6">
        <v>120000</v>
      </c>
      <c r="J382" t="s">
        <v>49</v>
      </c>
      <c r="K382" t="s">
        <v>40</v>
      </c>
      <c r="L382" t="s">
        <v>85</v>
      </c>
    </row>
    <row r="383" spans="1:12" x14ac:dyDescent="0.25">
      <c r="A383">
        <v>10382</v>
      </c>
      <c r="B383" s="5">
        <v>46075</v>
      </c>
      <c r="C383" t="s">
        <v>69</v>
      </c>
      <c r="D383" t="s">
        <v>70</v>
      </c>
      <c r="E383" t="s">
        <v>44</v>
      </c>
      <c r="F383" t="s">
        <v>35</v>
      </c>
      <c r="G383">
        <v>5</v>
      </c>
      <c r="H383" s="6">
        <v>90000</v>
      </c>
      <c r="I383" s="6">
        <v>450000</v>
      </c>
      <c r="J383" t="s">
        <v>49</v>
      </c>
      <c r="K383" t="s">
        <v>40</v>
      </c>
      <c r="L383" t="s">
        <v>85</v>
      </c>
    </row>
    <row r="384" spans="1:12" x14ac:dyDescent="0.25">
      <c r="A384">
        <v>10383</v>
      </c>
      <c r="B384" s="5">
        <v>46149</v>
      </c>
      <c r="C384" t="s">
        <v>62</v>
      </c>
      <c r="D384" t="s">
        <v>39</v>
      </c>
      <c r="E384" t="s">
        <v>44</v>
      </c>
      <c r="F384" t="s">
        <v>35</v>
      </c>
      <c r="G384">
        <v>4</v>
      </c>
      <c r="H384" s="6">
        <v>90000</v>
      </c>
      <c r="I384" s="6">
        <v>360000</v>
      </c>
      <c r="J384" t="s">
        <v>49</v>
      </c>
      <c r="K384" t="s">
        <v>40</v>
      </c>
      <c r="L384" t="s">
        <v>85</v>
      </c>
    </row>
    <row r="385" spans="1:12" x14ac:dyDescent="0.25">
      <c r="A385">
        <v>10384</v>
      </c>
      <c r="B385" s="5">
        <v>46115</v>
      </c>
      <c r="C385" t="s">
        <v>54</v>
      </c>
      <c r="D385" t="s">
        <v>47</v>
      </c>
      <c r="E385" t="s">
        <v>71</v>
      </c>
      <c r="F385" t="s">
        <v>33</v>
      </c>
      <c r="G385">
        <v>1</v>
      </c>
      <c r="H385" s="6">
        <v>45000</v>
      </c>
      <c r="I385" s="6">
        <v>45000</v>
      </c>
      <c r="J385" t="s">
        <v>64</v>
      </c>
      <c r="K385" t="s">
        <v>48</v>
      </c>
      <c r="L385" t="s">
        <v>84</v>
      </c>
    </row>
    <row r="386" spans="1:12" x14ac:dyDescent="0.25">
      <c r="A386">
        <v>10385</v>
      </c>
      <c r="B386" s="5">
        <v>46218</v>
      </c>
      <c r="C386" t="s">
        <v>62</v>
      </c>
      <c r="D386" t="s">
        <v>39</v>
      </c>
      <c r="E386" t="s">
        <v>61</v>
      </c>
      <c r="F386" t="s">
        <v>36</v>
      </c>
      <c r="G386">
        <v>3</v>
      </c>
      <c r="H386" s="6">
        <v>45000</v>
      </c>
      <c r="I386" s="6">
        <v>135000</v>
      </c>
      <c r="J386" t="s">
        <v>41</v>
      </c>
      <c r="K386" t="s">
        <v>40</v>
      </c>
      <c r="L386" t="s">
        <v>87</v>
      </c>
    </row>
    <row r="387" spans="1:12" x14ac:dyDescent="0.25">
      <c r="A387">
        <v>10386</v>
      </c>
      <c r="B387" s="5">
        <v>46033</v>
      </c>
      <c r="C387" t="s">
        <v>38</v>
      </c>
      <c r="D387" t="s">
        <v>63</v>
      </c>
      <c r="E387" t="s">
        <v>58</v>
      </c>
      <c r="F387" t="s">
        <v>33</v>
      </c>
      <c r="G387">
        <v>4</v>
      </c>
      <c r="H387" s="6">
        <v>25000</v>
      </c>
      <c r="I387" s="6">
        <v>100000</v>
      </c>
      <c r="J387" t="s">
        <v>57</v>
      </c>
      <c r="K387" t="s">
        <v>40</v>
      </c>
      <c r="L387" t="s">
        <v>84</v>
      </c>
    </row>
    <row r="388" spans="1:12" x14ac:dyDescent="0.25">
      <c r="A388">
        <v>10387</v>
      </c>
      <c r="B388" s="5">
        <v>46044</v>
      </c>
      <c r="C388" t="s">
        <v>72</v>
      </c>
      <c r="D388" t="s">
        <v>70</v>
      </c>
      <c r="E388" t="s">
        <v>68</v>
      </c>
      <c r="F388" t="s">
        <v>36</v>
      </c>
      <c r="G388">
        <v>7</v>
      </c>
      <c r="H388" s="6">
        <v>18000</v>
      </c>
      <c r="I388" s="6">
        <v>126000</v>
      </c>
      <c r="J388" t="s">
        <v>49</v>
      </c>
      <c r="K388" t="s">
        <v>40</v>
      </c>
      <c r="L388" t="s">
        <v>87</v>
      </c>
    </row>
    <row r="389" spans="1:12" x14ac:dyDescent="0.25">
      <c r="A389">
        <v>10388</v>
      </c>
      <c r="B389" s="5">
        <v>46229</v>
      </c>
      <c r="C389" t="s">
        <v>46</v>
      </c>
      <c r="D389" t="s">
        <v>70</v>
      </c>
      <c r="E389" t="s">
        <v>44</v>
      </c>
      <c r="F389" t="s">
        <v>35</v>
      </c>
      <c r="G389">
        <v>4</v>
      </c>
      <c r="H389" s="6">
        <v>90000</v>
      </c>
      <c r="I389" s="6">
        <v>360000</v>
      </c>
      <c r="J389" t="s">
        <v>57</v>
      </c>
      <c r="K389" t="s">
        <v>40</v>
      </c>
      <c r="L389" t="s">
        <v>85</v>
      </c>
    </row>
    <row r="390" spans="1:12" x14ac:dyDescent="0.25">
      <c r="A390">
        <v>10389</v>
      </c>
      <c r="B390" s="5">
        <v>46209</v>
      </c>
      <c r="C390" t="s">
        <v>46</v>
      </c>
      <c r="D390" t="s">
        <v>39</v>
      </c>
      <c r="E390" t="s">
        <v>58</v>
      </c>
      <c r="F390" t="s">
        <v>33</v>
      </c>
      <c r="G390">
        <v>7</v>
      </c>
      <c r="H390" s="6">
        <v>25000</v>
      </c>
      <c r="I390" s="6">
        <v>175000</v>
      </c>
      <c r="J390" t="s">
        <v>49</v>
      </c>
      <c r="K390" t="s">
        <v>40</v>
      </c>
      <c r="L390" t="s">
        <v>84</v>
      </c>
    </row>
    <row r="391" spans="1:12" x14ac:dyDescent="0.25">
      <c r="A391">
        <v>10390</v>
      </c>
      <c r="B391" s="5">
        <v>46179</v>
      </c>
      <c r="C391" t="s">
        <v>69</v>
      </c>
      <c r="D391" t="s">
        <v>39</v>
      </c>
      <c r="E391" t="s">
        <v>45</v>
      </c>
      <c r="F391" t="s">
        <v>36</v>
      </c>
      <c r="G391">
        <v>8</v>
      </c>
      <c r="H391" s="6">
        <v>140000</v>
      </c>
      <c r="I391" s="6">
        <v>1120000</v>
      </c>
      <c r="J391" t="s">
        <v>57</v>
      </c>
      <c r="K391" t="s">
        <v>40</v>
      </c>
      <c r="L391" t="s">
        <v>87</v>
      </c>
    </row>
    <row r="392" spans="1:12" x14ac:dyDescent="0.25">
      <c r="A392">
        <v>10391</v>
      </c>
      <c r="B392" s="5">
        <v>46204</v>
      </c>
      <c r="C392" t="s">
        <v>46</v>
      </c>
      <c r="D392" t="s">
        <v>73</v>
      </c>
      <c r="E392" t="s">
        <v>43</v>
      </c>
      <c r="F392" t="s">
        <v>34</v>
      </c>
      <c r="G392">
        <v>1</v>
      </c>
      <c r="H392" s="6">
        <v>35000</v>
      </c>
      <c r="I392" s="6">
        <v>35000</v>
      </c>
      <c r="J392" t="s">
        <v>41</v>
      </c>
      <c r="K392" t="s">
        <v>40</v>
      </c>
      <c r="L392" t="s">
        <v>86</v>
      </c>
    </row>
    <row r="393" spans="1:12" x14ac:dyDescent="0.25">
      <c r="A393">
        <v>10392</v>
      </c>
      <c r="B393" s="5">
        <v>46118</v>
      </c>
      <c r="C393" t="s">
        <v>46</v>
      </c>
      <c r="D393" t="s">
        <v>73</v>
      </c>
      <c r="E393" t="s">
        <v>60</v>
      </c>
      <c r="F393" t="s">
        <v>35</v>
      </c>
      <c r="G393">
        <v>3</v>
      </c>
      <c r="H393" s="6">
        <v>65000</v>
      </c>
      <c r="I393" s="6">
        <v>195000</v>
      </c>
      <c r="J393" t="s">
        <v>57</v>
      </c>
      <c r="K393" t="s">
        <v>40</v>
      </c>
      <c r="L393" t="s">
        <v>85</v>
      </c>
    </row>
    <row r="394" spans="1:12" x14ac:dyDescent="0.25">
      <c r="A394">
        <v>10393</v>
      </c>
      <c r="B394" s="5">
        <v>46229</v>
      </c>
      <c r="C394" t="s">
        <v>62</v>
      </c>
      <c r="D394" t="s">
        <v>55</v>
      </c>
      <c r="E394" t="s">
        <v>42</v>
      </c>
      <c r="F394" t="s">
        <v>33</v>
      </c>
      <c r="G394">
        <v>6</v>
      </c>
      <c r="H394" s="6">
        <v>650000</v>
      </c>
      <c r="I394" s="6">
        <v>3900000</v>
      </c>
      <c r="J394" t="s">
        <v>41</v>
      </c>
      <c r="K394" t="s">
        <v>40</v>
      </c>
      <c r="L394" t="s">
        <v>84</v>
      </c>
    </row>
    <row r="395" spans="1:12" x14ac:dyDescent="0.25">
      <c r="A395">
        <v>10394</v>
      </c>
      <c r="B395" s="5">
        <v>46153</v>
      </c>
      <c r="C395" t="s">
        <v>54</v>
      </c>
      <c r="D395" t="s">
        <v>39</v>
      </c>
      <c r="E395" t="s">
        <v>65</v>
      </c>
      <c r="F395" t="s">
        <v>33</v>
      </c>
      <c r="G395">
        <v>8</v>
      </c>
      <c r="H395" s="6">
        <v>180000</v>
      </c>
      <c r="I395" s="6">
        <v>1440000</v>
      </c>
      <c r="J395" t="s">
        <v>64</v>
      </c>
      <c r="K395" t="s">
        <v>48</v>
      </c>
      <c r="L395" t="s">
        <v>84</v>
      </c>
    </row>
    <row r="396" spans="1:12" x14ac:dyDescent="0.25">
      <c r="A396">
        <v>10395</v>
      </c>
      <c r="B396" s="5">
        <v>46088</v>
      </c>
      <c r="C396" t="s">
        <v>38</v>
      </c>
      <c r="D396" t="s">
        <v>70</v>
      </c>
      <c r="E396" t="s">
        <v>59</v>
      </c>
      <c r="F396" t="s">
        <v>34</v>
      </c>
      <c r="G396">
        <v>3</v>
      </c>
      <c r="H396" s="6">
        <v>70000</v>
      </c>
      <c r="I396" s="6">
        <v>210000</v>
      </c>
      <c r="J396" t="s">
        <v>41</v>
      </c>
      <c r="K396" t="s">
        <v>40</v>
      </c>
      <c r="L396" t="s">
        <v>86</v>
      </c>
    </row>
    <row r="397" spans="1:12" x14ac:dyDescent="0.25">
      <c r="A397">
        <v>10396</v>
      </c>
      <c r="B397" s="5">
        <v>46085</v>
      </c>
      <c r="C397" t="s">
        <v>38</v>
      </c>
      <c r="D397" t="s">
        <v>63</v>
      </c>
      <c r="E397" t="s">
        <v>42</v>
      </c>
      <c r="F397" t="s">
        <v>33</v>
      </c>
      <c r="G397">
        <v>1</v>
      </c>
      <c r="H397" s="6">
        <v>650000</v>
      </c>
      <c r="I397" s="6">
        <v>650000</v>
      </c>
      <c r="J397" t="s">
        <v>57</v>
      </c>
      <c r="K397" t="s">
        <v>40</v>
      </c>
      <c r="L397" t="s">
        <v>84</v>
      </c>
    </row>
    <row r="398" spans="1:12" x14ac:dyDescent="0.25">
      <c r="A398">
        <v>10397</v>
      </c>
      <c r="B398" s="5">
        <v>46164</v>
      </c>
      <c r="C398" t="s">
        <v>72</v>
      </c>
      <c r="D398" t="s">
        <v>73</v>
      </c>
      <c r="E398" t="s">
        <v>51</v>
      </c>
      <c r="F398" t="s">
        <v>34</v>
      </c>
      <c r="G398">
        <v>1</v>
      </c>
      <c r="H398" s="6">
        <v>55000</v>
      </c>
      <c r="I398" s="6">
        <v>55000</v>
      </c>
      <c r="J398" t="s">
        <v>64</v>
      </c>
      <c r="K398" t="s">
        <v>40</v>
      </c>
      <c r="L398" t="s">
        <v>86</v>
      </c>
    </row>
    <row r="399" spans="1:12" x14ac:dyDescent="0.25">
      <c r="A399">
        <v>10398</v>
      </c>
      <c r="B399" s="5">
        <v>46092</v>
      </c>
      <c r="C399" t="s">
        <v>38</v>
      </c>
      <c r="D399" t="s">
        <v>70</v>
      </c>
      <c r="E399" t="s">
        <v>66</v>
      </c>
      <c r="F399" t="s">
        <v>34</v>
      </c>
      <c r="G399">
        <v>6</v>
      </c>
      <c r="H399" s="6">
        <v>120000</v>
      </c>
      <c r="I399" s="6">
        <v>720000</v>
      </c>
      <c r="J399" t="s">
        <v>57</v>
      </c>
      <c r="K399" t="s">
        <v>40</v>
      </c>
      <c r="L399" t="s">
        <v>86</v>
      </c>
    </row>
    <row r="400" spans="1:12" x14ac:dyDescent="0.25">
      <c r="A400">
        <v>10399</v>
      </c>
      <c r="B400" s="5">
        <v>46228</v>
      </c>
      <c r="C400" t="s">
        <v>69</v>
      </c>
      <c r="D400" t="s">
        <v>39</v>
      </c>
      <c r="E400" t="s">
        <v>50</v>
      </c>
      <c r="F400" t="s">
        <v>33</v>
      </c>
      <c r="G400">
        <v>4</v>
      </c>
      <c r="H400" s="6">
        <v>12000</v>
      </c>
      <c r="I400" s="6">
        <v>48000</v>
      </c>
      <c r="J400" t="s">
        <v>64</v>
      </c>
      <c r="K400" t="s">
        <v>40</v>
      </c>
      <c r="L400" t="s">
        <v>84</v>
      </c>
    </row>
    <row r="401" spans="1:12" x14ac:dyDescent="0.25">
      <c r="A401">
        <v>10400</v>
      </c>
      <c r="B401" s="5">
        <v>46106</v>
      </c>
      <c r="C401" t="s">
        <v>38</v>
      </c>
      <c r="D401" t="s">
        <v>70</v>
      </c>
      <c r="E401" t="s">
        <v>61</v>
      </c>
      <c r="F401" t="s">
        <v>36</v>
      </c>
      <c r="G401">
        <v>5</v>
      </c>
      <c r="H401" s="6">
        <v>45000</v>
      </c>
      <c r="I401" s="6">
        <v>225000</v>
      </c>
      <c r="J401" t="s">
        <v>64</v>
      </c>
      <c r="K401" t="s">
        <v>40</v>
      </c>
      <c r="L401" t="s">
        <v>87</v>
      </c>
    </row>
    <row r="402" spans="1:12" x14ac:dyDescent="0.25">
      <c r="A402">
        <v>10401</v>
      </c>
      <c r="B402" s="5">
        <v>46212</v>
      </c>
      <c r="C402" t="s">
        <v>69</v>
      </c>
      <c r="D402" t="s">
        <v>47</v>
      </c>
      <c r="E402" t="s">
        <v>59</v>
      </c>
      <c r="F402" t="s">
        <v>34</v>
      </c>
      <c r="G402">
        <v>5</v>
      </c>
      <c r="H402" s="6">
        <v>70000</v>
      </c>
      <c r="I402" s="6">
        <v>350000</v>
      </c>
      <c r="J402" t="s">
        <v>64</v>
      </c>
      <c r="K402" t="s">
        <v>40</v>
      </c>
      <c r="L402" t="s">
        <v>86</v>
      </c>
    </row>
    <row r="403" spans="1:12" x14ac:dyDescent="0.25">
      <c r="A403">
        <v>10402</v>
      </c>
      <c r="B403" s="5">
        <v>46061</v>
      </c>
      <c r="C403" t="s">
        <v>38</v>
      </c>
      <c r="D403" t="s">
        <v>63</v>
      </c>
      <c r="E403" t="s">
        <v>53</v>
      </c>
      <c r="F403" t="s">
        <v>36</v>
      </c>
      <c r="G403">
        <v>4</v>
      </c>
      <c r="H403" s="6">
        <v>180000</v>
      </c>
      <c r="I403" s="6">
        <v>720000</v>
      </c>
      <c r="J403" t="s">
        <v>41</v>
      </c>
      <c r="K403" t="s">
        <v>40</v>
      </c>
      <c r="L403" t="s">
        <v>87</v>
      </c>
    </row>
    <row r="404" spans="1:12" x14ac:dyDescent="0.25">
      <c r="A404">
        <v>10403</v>
      </c>
      <c r="B404" s="5">
        <v>46023</v>
      </c>
      <c r="C404" t="s">
        <v>72</v>
      </c>
      <c r="D404" t="s">
        <v>63</v>
      </c>
      <c r="E404" t="s">
        <v>44</v>
      </c>
      <c r="F404" t="s">
        <v>35</v>
      </c>
      <c r="G404">
        <v>6</v>
      </c>
      <c r="H404" s="6">
        <v>90000</v>
      </c>
      <c r="I404" s="6">
        <v>540000</v>
      </c>
      <c r="J404" t="s">
        <v>57</v>
      </c>
      <c r="K404" t="s">
        <v>40</v>
      </c>
      <c r="L404" t="s">
        <v>85</v>
      </c>
    </row>
    <row r="405" spans="1:12" x14ac:dyDescent="0.25">
      <c r="A405">
        <v>10404</v>
      </c>
      <c r="B405" s="5">
        <v>46038</v>
      </c>
      <c r="C405" t="s">
        <v>46</v>
      </c>
      <c r="D405" t="s">
        <v>73</v>
      </c>
      <c r="E405" t="s">
        <v>66</v>
      </c>
      <c r="F405" t="s">
        <v>34</v>
      </c>
      <c r="G405">
        <v>8</v>
      </c>
      <c r="H405" s="6">
        <v>120000</v>
      </c>
      <c r="I405" s="6">
        <v>960000</v>
      </c>
      <c r="J405" t="s">
        <v>57</v>
      </c>
      <c r="K405" t="s">
        <v>40</v>
      </c>
      <c r="L405" t="s">
        <v>86</v>
      </c>
    </row>
    <row r="406" spans="1:12" x14ac:dyDescent="0.25">
      <c r="A406">
        <v>10405</v>
      </c>
      <c r="B406" s="5">
        <v>46140</v>
      </c>
      <c r="C406" t="s">
        <v>72</v>
      </c>
      <c r="D406" t="s">
        <v>39</v>
      </c>
      <c r="E406" t="s">
        <v>66</v>
      </c>
      <c r="F406" t="s">
        <v>34</v>
      </c>
      <c r="G406">
        <v>6</v>
      </c>
      <c r="H406" s="6">
        <v>120000</v>
      </c>
      <c r="I406" s="6">
        <v>720000</v>
      </c>
      <c r="J406" t="s">
        <v>41</v>
      </c>
      <c r="K406" t="s">
        <v>40</v>
      </c>
      <c r="L406" t="s">
        <v>86</v>
      </c>
    </row>
    <row r="407" spans="1:12" x14ac:dyDescent="0.25">
      <c r="A407">
        <v>10406</v>
      </c>
      <c r="B407" s="5">
        <v>46134</v>
      </c>
      <c r="C407" t="s">
        <v>72</v>
      </c>
      <c r="D407" t="s">
        <v>47</v>
      </c>
      <c r="E407" t="s">
        <v>45</v>
      </c>
      <c r="F407" t="s">
        <v>36</v>
      </c>
      <c r="G407">
        <v>1</v>
      </c>
      <c r="H407" s="6">
        <v>140000</v>
      </c>
      <c r="I407" s="6">
        <v>140000</v>
      </c>
      <c r="J407" t="s">
        <v>49</v>
      </c>
      <c r="K407" t="s">
        <v>40</v>
      </c>
      <c r="L407" t="s">
        <v>87</v>
      </c>
    </row>
    <row r="408" spans="1:12" x14ac:dyDescent="0.25">
      <c r="A408">
        <v>10407</v>
      </c>
      <c r="B408" s="5">
        <v>46104</v>
      </c>
      <c r="C408" t="s">
        <v>62</v>
      </c>
      <c r="D408" t="s">
        <v>55</v>
      </c>
      <c r="E408" t="s">
        <v>67</v>
      </c>
      <c r="F408" t="s">
        <v>35</v>
      </c>
      <c r="G408">
        <v>6</v>
      </c>
      <c r="H408" s="6">
        <v>50000</v>
      </c>
      <c r="I408" s="6">
        <v>300000</v>
      </c>
      <c r="J408" t="s">
        <v>49</v>
      </c>
      <c r="K408" t="s">
        <v>40</v>
      </c>
      <c r="L408" t="s">
        <v>85</v>
      </c>
    </row>
    <row r="409" spans="1:12" x14ac:dyDescent="0.25">
      <c r="A409">
        <v>10408</v>
      </c>
      <c r="B409" s="5">
        <v>46062</v>
      </c>
      <c r="C409" t="s">
        <v>38</v>
      </c>
      <c r="D409" t="s">
        <v>47</v>
      </c>
      <c r="E409" t="s">
        <v>51</v>
      </c>
      <c r="F409" t="s">
        <v>34</v>
      </c>
      <c r="G409">
        <v>2</v>
      </c>
      <c r="H409" s="6">
        <v>55000</v>
      </c>
      <c r="I409" s="6">
        <v>110000</v>
      </c>
      <c r="J409" t="s">
        <v>64</v>
      </c>
      <c r="K409" t="s">
        <v>40</v>
      </c>
      <c r="L409" t="s">
        <v>86</v>
      </c>
    </row>
    <row r="410" spans="1:12" x14ac:dyDescent="0.25">
      <c r="A410">
        <v>10409</v>
      </c>
      <c r="B410" s="5">
        <v>46220</v>
      </c>
      <c r="C410" t="s">
        <v>46</v>
      </c>
      <c r="D410" t="s">
        <v>63</v>
      </c>
      <c r="E410" t="s">
        <v>45</v>
      </c>
      <c r="F410" t="s">
        <v>36</v>
      </c>
      <c r="G410">
        <v>6</v>
      </c>
      <c r="H410" s="6">
        <v>140000</v>
      </c>
      <c r="I410" s="6">
        <v>840000</v>
      </c>
      <c r="J410" t="s">
        <v>57</v>
      </c>
      <c r="K410" t="s">
        <v>40</v>
      </c>
      <c r="L410" t="s">
        <v>87</v>
      </c>
    </row>
    <row r="411" spans="1:12" x14ac:dyDescent="0.25">
      <c r="A411">
        <v>10410</v>
      </c>
      <c r="B411" s="5">
        <v>46229</v>
      </c>
      <c r="C411" t="s">
        <v>72</v>
      </c>
      <c r="D411" t="s">
        <v>55</v>
      </c>
      <c r="E411" t="s">
        <v>42</v>
      </c>
      <c r="F411" t="s">
        <v>33</v>
      </c>
      <c r="G411">
        <v>3</v>
      </c>
      <c r="H411" s="6">
        <v>650000</v>
      </c>
      <c r="I411" s="6">
        <v>1950000</v>
      </c>
      <c r="J411" t="s">
        <v>41</v>
      </c>
      <c r="K411" t="s">
        <v>40</v>
      </c>
      <c r="L411" t="s">
        <v>84</v>
      </c>
    </row>
    <row r="412" spans="1:12" x14ac:dyDescent="0.25">
      <c r="A412">
        <v>10411</v>
      </c>
      <c r="B412" s="5">
        <v>46205</v>
      </c>
      <c r="C412" t="s">
        <v>46</v>
      </c>
      <c r="D412" t="s">
        <v>55</v>
      </c>
      <c r="E412" t="s">
        <v>52</v>
      </c>
      <c r="F412" t="s">
        <v>35</v>
      </c>
      <c r="G412">
        <v>2</v>
      </c>
      <c r="H412" s="6">
        <v>30000</v>
      </c>
      <c r="I412" s="6">
        <v>60000</v>
      </c>
      <c r="J412" t="s">
        <v>64</v>
      </c>
      <c r="K412" t="s">
        <v>40</v>
      </c>
      <c r="L412" t="s">
        <v>85</v>
      </c>
    </row>
    <row r="413" spans="1:12" x14ac:dyDescent="0.25">
      <c r="A413">
        <v>10412</v>
      </c>
      <c r="B413" s="5">
        <v>46030</v>
      </c>
      <c r="C413" t="s">
        <v>62</v>
      </c>
      <c r="D413" t="s">
        <v>63</v>
      </c>
      <c r="E413" t="s">
        <v>60</v>
      </c>
      <c r="F413" t="s">
        <v>35</v>
      </c>
      <c r="G413">
        <v>3</v>
      </c>
      <c r="H413" s="6">
        <v>65000</v>
      </c>
      <c r="I413" s="6">
        <v>195000</v>
      </c>
      <c r="J413" t="s">
        <v>49</v>
      </c>
      <c r="K413" t="s">
        <v>40</v>
      </c>
      <c r="L413" t="s">
        <v>85</v>
      </c>
    </row>
    <row r="414" spans="1:12" x14ac:dyDescent="0.25">
      <c r="A414">
        <v>10413</v>
      </c>
      <c r="B414" s="5">
        <v>46026</v>
      </c>
      <c r="C414" t="s">
        <v>38</v>
      </c>
      <c r="D414" t="s">
        <v>47</v>
      </c>
      <c r="E414" t="s">
        <v>50</v>
      </c>
      <c r="F414" t="s">
        <v>33</v>
      </c>
      <c r="G414">
        <v>2</v>
      </c>
      <c r="H414" s="6">
        <v>12000</v>
      </c>
      <c r="I414" s="6">
        <v>24000</v>
      </c>
      <c r="J414" t="s">
        <v>49</v>
      </c>
      <c r="K414" t="s">
        <v>40</v>
      </c>
      <c r="L414" t="s">
        <v>84</v>
      </c>
    </row>
    <row r="415" spans="1:12" x14ac:dyDescent="0.25">
      <c r="A415">
        <v>10414</v>
      </c>
      <c r="B415" s="5">
        <v>46172</v>
      </c>
      <c r="C415" t="s">
        <v>69</v>
      </c>
      <c r="D415" t="s">
        <v>55</v>
      </c>
      <c r="E415" t="s">
        <v>61</v>
      </c>
      <c r="F415" t="s">
        <v>36</v>
      </c>
      <c r="G415">
        <v>2</v>
      </c>
      <c r="H415" s="6">
        <v>45000</v>
      </c>
      <c r="I415" s="6">
        <v>90000</v>
      </c>
      <c r="J415" t="s">
        <v>41</v>
      </c>
      <c r="K415" t="s">
        <v>40</v>
      </c>
      <c r="L415" t="s">
        <v>87</v>
      </c>
    </row>
    <row r="416" spans="1:12" x14ac:dyDescent="0.25">
      <c r="A416">
        <v>10415</v>
      </c>
      <c r="B416" s="5">
        <v>46230</v>
      </c>
      <c r="C416" t="s">
        <v>46</v>
      </c>
      <c r="D416" t="s">
        <v>39</v>
      </c>
      <c r="E416" t="s">
        <v>50</v>
      </c>
      <c r="F416" t="s">
        <v>33</v>
      </c>
      <c r="G416">
        <v>8</v>
      </c>
      <c r="H416" s="6">
        <v>12000</v>
      </c>
      <c r="I416" s="6">
        <v>96000</v>
      </c>
      <c r="J416" t="s">
        <v>57</v>
      </c>
      <c r="K416" t="s">
        <v>40</v>
      </c>
      <c r="L416" t="s">
        <v>84</v>
      </c>
    </row>
    <row r="417" spans="1:12" x14ac:dyDescent="0.25">
      <c r="A417">
        <v>10416</v>
      </c>
      <c r="B417" s="5">
        <v>46259</v>
      </c>
      <c r="C417" t="s">
        <v>69</v>
      </c>
      <c r="D417" t="s">
        <v>63</v>
      </c>
      <c r="E417" t="s">
        <v>45</v>
      </c>
      <c r="F417" t="s">
        <v>36</v>
      </c>
      <c r="G417">
        <v>3</v>
      </c>
      <c r="H417" s="6">
        <v>140000</v>
      </c>
      <c r="I417" s="6">
        <v>420000</v>
      </c>
      <c r="J417" t="s">
        <v>64</v>
      </c>
      <c r="K417" t="s">
        <v>40</v>
      </c>
      <c r="L417" t="s">
        <v>87</v>
      </c>
    </row>
    <row r="418" spans="1:12" x14ac:dyDescent="0.25">
      <c r="A418">
        <v>10417</v>
      </c>
      <c r="B418" s="5">
        <v>46113</v>
      </c>
      <c r="C418" t="s">
        <v>46</v>
      </c>
      <c r="D418" t="s">
        <v>47</v>
      </c>
      <c r="E418" t="s">
        <v>68</v>
      </c>
      <c r="F418" t="s">
        <v>36</v>
      </c>
      <c r="G418">
        <v>3</v>
      </c>
      <c r="H418" s="6">
        <v>18000</v>
      </c>
      <c r="I418" s="6">
        <v>54000</v>
      </c>
      <c r="J418" t="s">
        <v>57</v>
      </c>
      <c r="K418" t="s">
        <v>40</v>
      </c>
      <c r="L418" t="s">
        <v>87</v>
      </c>
    </row>
    <row r="419" spans="1:12" x14ac:dyDescent="0.25">
      <c r="A419">
        <v>10418</v>
      </c>
      <c r="B419" s="5">
        <v>46188</v>
      </c>
      <c r="C419" t="s">
        <v>54</v>
      </c>
      <c r="D419" t="s">
        <v>63</v>
      </c>
      <c r="E419" t="s">
        <v>43</v>
      </c>
      <c r="F419" t="s">
        <v>34</v>
      </c>
      <c r="G419">
        <v>4</v>
      </c>
      <c r="H419" s="6">
        <v>35000</v>
      </c>
      <c r="I419" s="6">
        <v>140000</v>
      </c>
      <c r="J419" t="s">
        <v>64</v>
      </c>
      <c r="K419" t="s">
        <v>48</v>
      </c>
      <c r="L419" t="s">
        <v>86</v>
      </c>
    </row>
    <row r="420" spans="1:12" x14ac:dyDescent="0.25">
      <c r="A420">
        <v>10419</v>
      </c>
      <c r="B420" s="5">
        <v>46094</v>
      </c>
      <c r="C420" t="s">
        <v>62</v>
      </c>
      <c r="D420" t="s">
        <v>47</v>
      </c>
      <c r="E420" t="s">
        <v>45</v>
      </c>
      <c r="F420" t="s">
        <v>36</v>
      </c>
      <c r="G420">
        <v>2</v>
      </c>
      <c r="H420" s="6">
        <v>140000</v>
      </c>
      <c r="I420" s="6">
        <v>280000</v>
      </c>
      <c r="J420" t="s">
        <v>64</v>
      </c>
      <c r="K420" t="s">
        <v>40</v>
      </c>
      <c r="L420" t="s">
        <v>87</v>
      </c>
    </row>
    <row r="421" spans="1:12" x14ac:dyDescent="0.25">
      <c r="A421">
        <v>10420</v>
      </c>
      <c r="B421" s="5">
        <v>46223</v>
      </c>
      <c r="C421" t="s">
        <v>72</v>
      </c>
      <c r="D421" t="s">
        <v>55</v>
      </c>
      <c r="E421" t="s">
        <v>43</v>
      </c>
      <c r="F421" t="s">
        <v>34</v>
      </c>
      <c r="G421">
        <v>7</v>
      </c>
      <c r="H421" s="6">
        <v>35000</v>
      </c>
      <c r="I421" s="6">
        <v>245000</v>
      </c>
      <c r="J421" t="s">
        <v>64</v>
      </c>
      <c r="K421" t="s">
        <v>40</v>
      </c>
      <c r="L421" t="s">
        <v>86</v>
      </c>
    </row>
    <row r="422" spans="1:12" x14ac:dyDescent="0.25">
      <c r="A422">
        <v>10421</v>
      </c>
      <c r="B422" s="5">
        <v>46122</v>
      </c>
      <c r="C422" t="s">
        <v>54</v>
      </c>
      <c r="D422" t="s">
        <v>47</v>
      </c>
      <c r="E422" t="s">
        <v>61</v>
      </c>
      <c r="F422" t="s">
        <v>36</v>
      </c>
      <c r="G422">
        <v>6</v>
      </c>
      <c r="H422" s="6">
        <v>45000</v>
      </c>
      <c r="I422" s="6">
        <v>270000</v>
      </c>
      <c r="J422" t="s">
        <v>41</v>
      </c>
      <c r="K422" t="s">
        <v>40</v>
      </c>
      <c r="L422" t="s">
        <v>87</v>
      </c>
    </row>
    <row r="423" spans="1:12" x14ac:dyDescent="0.25">
      <c r="A423">
        <v>10422</v>
      </c>
      <c r="B423" s="5">
        <v>46037</v>
      </c>
      <c r="C423" t="s">
        <v>62</v>
      </c>
      <c r="D423" t="s">
        <v>70</v>
      </c>
      <c r="E423" t="s">
        <v>43</v>
      </c>
      <c r="F423" t="s">
        <v>34</v>
      </c>
      <c r="G423">
        <v>5</v>
      </c>
      <c r="H423" s="6">
        <v>35000</v>
      </c>
      <c r="I423" s="6">
        <v>175000</v>
      </c>
      <c r="J423" t="s">
        <v>57</v>
      </c>
      <c r="K423" t="s">
        <v>48</v>
      </c>
      <c r="L423" t="s">
        <v>86</v>
      </c>
    </row>
    <row r="424" spans="1:12" x14ac:dyDescent="0.25">
      <c r="A424">
        <v>10423</v>
      </c>
      <c r="B424" s="5">
        <v>46086</v>
      </c>
      <c r="C424" t="s">
        <v>72</v>
      </c>
      <c r="D424" t="s">
        <v>47</v>
      </c>
      <c r="E424" t="s">
        <v>51</v>
      </c>
      <c r="F424" t="s">
        <v>34</v>
      </c>
      <c r="G424">
        <v>2</v>
      </c>
      <c r="H424" s="6">
        <v>55000</v>
      </c>
      <c r="I424" s="6">
        <v>110000</v>
      </c>
      <c r="J424" t="s">
        <v>57</v>
      </c>
      <c r="K424" t="s">
        <v>40</v>
      </c>
      <c r="L424" t="s">
        <v>86</v>
      </c>
    </row>
    <row r="425" spans="1:12" x14ac:dyDescent="0.25">
      <c r="A425">
        <v>10424</v>
      </c>
      <c r="B425" s="5">
        <v>46113</v>
      </c>
      <c r="C425" t="s">
        <v>46</v>
      </c>
      <c r="D425" t="s">
        <v>47</v>
      </c>
      <c r="E425" t="s">
        <v>50</v>
      </c>
      <c r="F425" t="s">
        <v>33</v>
      </c>
      <c r="G425">
        <v>7</v>
      </c>
      <c r="H425" s="6">
        <v>12000</v>
      </c>
      <c r="I425" s="6">
        <v>84000</v>
      </c>
      <c r="J425" t="s">
        <v>49</v>
      </c>
      <c r="K425" t="s">
        <v>40</v>
      </c>
      <c r="L425" t="s">
        <v>84</v>
      </c>
    </row>
    <row r="426" spans="1:12" x14ac:dyDescent="0.25">
      <c r="A426">
        <v>10425</v>
      </c>
      <c r="B426" s="5">
        <v>46168</v>
      </c>
      <c r="C426" t="s">
        <v>69</v>
      </c>
      <c r="D426" t="s">
        <v>47</v>
      </c>
      <c r="E426" t="s">
        <v>44</v>
      </c>
      <c r="F426" t="s">
        <v>35</v>
      </c>
      <c r="G426">
        <v>6</v>
      </c>
      <c r="H426" s="6">
        <v>90000</v>
      </c>
      <c r="I426" s="6">
        <v>540000</v>
      </c>
      <c r="J426" t="s">
        <v>49</v>
      </c>
      <c r="K426" t="s">
        <v>48</v>
      </c>
      <c r="L426" t="s">
        <v>85</v>
      </c>
    </row>
    <row r="427" spans="1:12" x14ac:dyDescent="0.25">
      <c r="A427">
        <v>10426</v>
      </c>
      <c r="B427" s="5">
        <v>46148</v>
      </c>
      <c r="C427" t="s">
        <v>38</v>
      </c>
      <c r="D427" t="s">
        <v>39</v>
      </c>
      <c r="E427" t="s">
        <v>61</v>
      </c>
      <c r="F427" t="s">
        <v>36</v>
      </c>
      <c r="G427">
        <v>3</v>
      </c>
      <c r="H427" s="6">
        <v>45000</v>
      </c>
      <c r="I427" s="6">
        <v>135000</v>
      </c>
      <c r="J427" t="s">
        <v>41</v>
      </c>
      <c r="K427" t="s">
        <v>40</v>
      </c>
      <c r="L427" t="s">
        <v>87</v>
      </c>
    </row>
    <row r="428" spans="1:12" x14ac:dyDescent="0.25">
      <c r="A428">
        <v>10427</v>
      </c>
      <c r="B428" s="5">
        <v>46023</v>
      </c>
      <c r="C428" t="s">
        <v>54</v>
      </c>
      <c r="D428" t="s">
        <v>70</v>
      </c>
      <c r="E428" t="s">
        <v>43</v>
      </c>
      <c r="F428" t="s">
        <v>34</v>
      </c>
      <c r="G428">
        <v>8</v>
      </c>
      <c r="H428" s="6">
        <v>35000</v>
      </c>
      <c r="I428" s="6">
        <v>280000</v>
      </c>
      <c r="J428" t="s">
        <v>49</v>
      </c>
      <c r="K428" t="s">
        <v>48</v>
      </c>
      <c r="L428" t="s">
        <v>86</v>
      </c>
    </row>
    <row r="429" spans="1:12" x14ac:dyDescent="0.25">
      <c r="A429">
        <v>10428</v>
      </c>
      <c r="B429" s="5">
        <v>46038</v>
      </c>
      <c r="C429" t="s">
        <v>38</v>
      </c>
      <c r="D429" t="s">
        <v>47</v>
      </c>
      <c r="E429" t="s">
        <v>52</v>
      </c>
      <c r="F429" t="s">
        <v>35</v>
      </c>
      <c r="G429">
        <v>6</v>
      </c>
      <c r="H429" s="6">
        <v>30000</v>
      </c>
      <c r="I429" s="6">
        <v>180000</v>
      </c>
      <c r="J429" t="s">
        <v>49</v>
      </c>
      <c r="K429" t="s">
        <v>48</v>
      </c>
      <c r="L429" t="s">
        <v>85</v>
      </c>
    </row>
    <row r="430" spans="1:12" x14ac:dyDescent="0.25">
      <c r="A430">
        <v>10429</v>
      </c>
      <c r="B430" s="5">
        <v>46203</v>
      </c>
      <c r="C430" t="s">
        <v>72</v>
      </c>
      <c r="D430" t="s">
        <v>63</v>
      </c>
      <c r="E430" t="s">
        <v>44</v>
      </c>
      <c r="F430" t="s">
        <v>35</v>
      </c>
      <c r="G430">
        <v>6</v>
      </c>
      <c r="H430" s="6">
        <v>90000</v>
      </c>
      <c r="I430" s="6">
        <v>540000</v>
      </c>
      <c r="J430" t="s">
        <v>41</v>
      </c>
      <c r="K430" t="s">
        <v>40</v>
      </c>
      <c r="L430" t="s">
        <v>85</v>
      </c>
    </row>
    <row r="431" spans="1:12" x14ac:dyDescent="0.25">
      <c r="A431">
        <v>10430</v>
      </c>
      <c r="B431" s="5">
        <v>46210</v>
      </c>
      <c r="C431" t="s">
        <v>62</v>
      </c>
      <c r="D431" t="s">
        <v>73</v>
      </c>
      <c r="E431" t="s">
        <v>52</v>
      </c>
      <c r="F431" t="s">
        <v>35</v>
      </c>
      <c r="G431">
        <v>3</v>
      </c>
      <c r="H431" s="6">
        <v>30000</v>
      </c>
      <c r="I431" s="6">
        <v>90000</v>
      </c>
      <c r="J431" t="s">
        <v>64</v>
      </c>
      <c r="K431" t="s">
        <v>40</v>
      </c>
      <c r="L431" t="s">
        <v>85</v>
      </c>
    </row>
    <row r="432" spans="1:12" x14ac:dyDescent="0.25">
      <c r="A432">
        <v>10431</v>
      </c>
      <c r="B432" s="5">
        <v>46193</v>
      </c>
      <c r="C432" t="s">
        <v>69</v>
      </c>
      <c r="D432" t="s">
        <v>47</v>
      </c>
      <c r="E432" t="s">
        <v>59</v>
      </c>
      <c r="F432" t="s">
        <v>34</v>
      </c>
      <c r="G432">
        <v>4</v>
      </c>
      <c r="H432" s="6">
        <v>70000</v>
      </c>
      <c r="I432" s="6">
        <v>280000</v>
      </c>
      <c r="J432" t="s">
        <v>64</v>
      </c>
      <c r="K432" t="s">
        <v>40</v>
      </c>
      <c r="L432" t="s">
        <v>86</v>
      </c>
    </row>
    <row r="433" spans="1:12" x14ac:dyDescent="0.25">
      <c r="A433">
        <v>10432</v>
      </c>
      <c r="B433" s="5">
        <v>46209</v>
      </c>
      <c r="C433" t="s">
        <v>38</v>
      </c>
      <c r="D433" t="s">
        <v>73</v>
      </c>
      <c r="E433" t="s">
        <v>52</v>
      </c>
      <c r="F433" t="s">
        <v>35</v>
      </c>
      <c r="G433">
        <v>3</v>
      </c>
      <c r="H433" s="6">
        <v>30000</v>
      </c>
      <c r="I433" s="6">
        <v>90000</v>
      </c>
      <c r="J433" t="s">
        <v>64</v>
      </c>
      <c r="K433" t="s">
        <v>48</v>
      </c>
      <c r="L433" t="s">
        <v>85</v>
      </c>
    </row>
    <row r="434" spans="1:12" x14ac:dyDescent="0.25">
      <c r="A434">
        <v>10433</v>
      </c>
      <c r="B434" s="5">
        <v>46258</v>
      </c>
      <c r="C434" t="s">
        <v>69</v>
      </c>
      <c r="D434" t="s">
        <v>47</v>
      </c>
      <c r="E434" t="s">
        <v>50</v>
      </c>
      <c r="F434" t="s">
        <v>33</v>
      </c>
      <c r="G434">
        <v>6</v>
      </c>
      <c r="H434" s="6">
        <v>12000</v>
      </c>
      <c r="I434" s="6">
        <v>72000</v>
      </c>
      <c r="J434" t="s">
        <v>41</v>
      </c>
      <c r="K434" t="s">
        <v>56</v>
      </c>
      <c r="L434" t="s">
        <v>84</v>
      </c>
    </row>
    <row r="435" spans="1:12" x14ac:dyDescent="0.25">
      <c r="A435">
        <v>10434</v>
      </c>
      <c r="B435" s="5">
        <v>46083</v>
      </c>
      <c r="C435" t="s">
        <v>54</v>
      </c>
      <c r="D435" t="s">
        <v>55</v>
      </c>
      <c r="E435" t="s">
        <v>59</v>
      </c>
      <c r="F435" t="s">
        <v>34</v>
      </c>
      <c r="G435">
        <v>2</v>
      </c>
      <c r="H435" s="6">
        <v>70000</v>
      </c>
      <c r="I435" s="6">
        <v>140000</v>
      </c>
      <c r="J435" t="s">
        <v>49</v>
      </c>
      <c r="K435" t="s">
        <v>40</v>
      </c>
      <c r="L435" t="s">
        <v>86</v>
      </c>
    </row>
    <row r="436" spans="1:12" x14ac:dyDescent="0.25">
      <c r="A436">
        <v>10435</v>
      </c>
      <c r="B436" s="5">
        <v>46137</v>
      </c>
      <c r="C436" t="s">
        <v>38</v>
      </c>
      <c r="D436" t="s">
        <v>55</v>
      </c>
      <c r="E436" t="s">
        <v>74</v>
      </c>
      <c r="F436" t="s">
        <v>33</v>
      </c>
      <c r="G436">
        <v>6</v>
      </c>
      <c r="H436" s="6">
        <v>220000</v>
      </c>
      <c r="I436" s="6">
        <v>1320000</v>
      </c>
      <c r="J436" t="s">
        <v>49</v>
      </c>
      <c r="K436" t="s">
        <v>40</v>
      </c>
      <c r="L436" t="s">
        <v>84</v>
      </c>
    </row>
    <row r="437" spans="1:12" x14ac:dyDescent="0.25">
      <c r="A437">
        <v>10436</v>
      </c>
      <c r="B437" s="5">
        <v>46224</v>
      </c>
      <c r="C437" t="s">
        <v>38</v>
      </c>
      <c r="D437" t="s">
        <v>73</v>
      </c>
      <c r="E437" t="s">
        <v>58</v>
      </c>
      <c r="F437" t="s">
        <v>33</v>
      </c>
      <c r="G437">
        <v>5</v>
      </c>
      <c r="H437" s="6">
        <v>25000</v>
      </c>
      <c r="I437" s="6">
        <v>125000</v>
      </c>
      <c r="J437" t="s">
        <v>41</v>
      </c>
      <c r="K437" t="s">
        <v>40</v>
      </c>
      <c r="L437" t="s">
        <v>84</v>
      </c>
    </row>
    <row r="438" spans="1:12" x14ac:dyDescent="0.25">
      <c r="A438">
        <v>10437</v>
      </c>
      <c r="B438" s="5">
        <v>46249</v>
      </c>
      <c r="C438" t="s">
        <v>62</v>
      </c>
      <c r="D438" t="s">
        <v>63</v>
      </c>
      <c r="E438" t="s">
        <v>68</v>
      </c>
      <c r="F438" t="s">
        <v>36</v>
      </c>
      <c r="G438">
        <v>3</v>
      </c>
      <c r="H438" s="6">
        <v>18000</v>
      </c>
      <c r="I438" s="6">
        <v>54000</v>
      </c>
      <c r="J438" t="s">
        <v>64</v>
      </c>
      <c r="K438" t="s">
        <v>40</v>
      </c>
      <c r="L438" t="s">
        <v>87</v>
      </c>
    </row>
    <row r="439" spans="1:12" x14ac:dyDescent="0.25">
      <c r="A439">
        <v>10438</v>
      </c>
      <c r="B439" s="5">
        <v>46224</v>
      </c>
      <c r="C439" t="s">
        <v>69</v>
      </c>
      <c r="D439" t="s">
        <v>73</v>
      </c>
      <c r="E439" t="s">
        <v>45</v>
      </c>
      <c r="F439" t="s">
        <v>36</v>
      </c>
      <c r="G439">
        <v>8</v>
      </c>
      <c r="H439" s="6">
        <v>140000</v>
      </c>
      <c r="I439" s="6">
        <v>1120000</v>
      </c>
      <c r="J439" t="s">
        <v>49</v>
      </c>
      <c r="K439" t="s">
        <v>40</v>
      </c>
      <c r="L439" t="s">
        <v>87</v>
      </c>
    </row>
    <row r="440" spans="1:12" x14ac:dyDescent="0.25">
      <c r="A440">
        <v>10439</v>
      </c>
      <c r="B440" s="5">
        <v>46028</v>
      </c>
      <c r="C440" t="s">
        <v>54</v>
      </c>
      <c r="D440" t="s">
        <v>55</v>
      </c>
      <c r="E440" t="s">
        <v>42</v>
      </c>
      <c r="F440" t="s">
        <v>33</v>
      </c>
      <c r="G440">
        <v>5</v>
      </c>
      <c r="H440" s="6">
        <v>650000</v>
      </c>
      <c r="I440" s="6">
        <v>3250000</v>
      </c>
      <c r="J440" t="s">
        <v>41</v>
      </c>
      <c r="K440" t="s">
        <v>40</v>
      </c>
      <c r="L440" t="s">
        <v>84</v>
      </c>
    </row>
    <row r="441" spans="1:12" x14ac:dyDescent="0.25">
      <c r="A441">
        <v>10440</v>
      </c>
      <c r="B441" s="5">
        <v>46210</v>
      </c>
      <c r="C441" t="s">
        <v>38</v>
      </c>
      <c r="D441" t="s">
        <v>70</v>
      </c>
      <c r="E441" t="s">
        <v>66</v>
      </c>
      <c r="F441" t="s">
        <v>34</v>
      </c>
      <c r="G441">
        <v>3</v>
      </c>
      <c r="H441" s="6">
        <v>120000</v>
      </c>
      <c r="I441" s="6">
        <v>360000</v>
      </c>
      <c r="J441" t="s">
        <v>41</v>
      </c>
      <c r="K441" t="s">
        <v>40</v>
      </c>
      <c r="L441" t="s">
        <v>86</v>
      </c>
    </row>
    <row r="442" spans="1:12" x14ac:dyDescent="0.25">
      <c r="A442">
        <v>10441</v>
      </c>
      <c r="B442" s="5">
        <v>46190</v>
      </c>
      <c r="C442" t="s">
        <v>46</v>
      </c>
      <c r="D442" t="s">
        <v>70</v>
      </c>
      <c r="E442" t="s">
        <v>45</v>
      </c>
      <c r="F442" t="s">
        <v>36</v>
      </c>
      <c r="G442">
        <v>7</v>
      </c>
      <c r="H442" s="6">
        <v>140000</v>
      </c>
      <c r="I442" s="6">
        <v>980000</v>
      </c>
      <c r="J442" t="s">
        <v>64</v>
      </c>
      <c r="K442" t="s">
        <v>40</v>
      </c>
      <c r="L442" t="s">
        <v>87</v>
      </c>
    </row>
    <row r="443" spans="1:12" x14ac:dyDescent="0.25">
      <c r="A443">
        <v>10442</v>
      </c>
      <c r="B443" s="5">
        <v>46071</v>
      </c>
      <c r="C443" t="s">
        <v>62</v>
      </c>
      <c r="D443" t="s">
        <v>73</v>
      </c>
      <c r="E443" t="s">
        <v>58</v>
      </c>
      <c r="F443" t="s">
        <v>33</v>
      </c>
      <c r="G443">
        <v>4</v>
      </c>
      <c r="H443" s="6">
        <v>25000</v>
      </c>
      <c r="I443" s="6">
        <v>100000</v>
      </c>
      <c r="J443" t="s">
        <v>57</v>
      </c>
      <c r="K443" t="s">
        <v>40</v>
      </c>
      <c r="L443" t="s">
        <v>84</v>
      </c>
    </row>
    <row r="444" spans="1:12" x14ac:dyDescent="0.25">
      <c r="A444">
        <v>10443</v>
      </c>
      <c r="B444" s="5">
        <v>46035</v>
      </c>
      <c r="C444" t="s">
        <v>62</v>
      </c>
      <c r="D444" t="s">
        <v>70</v>
      </c>
      <c r="E444" t="s">
        <v>52</v>
      </c>
      <c r="F444" t="s">
        <v>35</v>
      </c>
      <c r="G444">
        <v>2</v>
      </c>
      <c r="H444" s="6">
        <v>30000</v>
      </c>
      <c r="I444" s="6">
        <v>60000</v>
      </c>
      <c r="J444" t="s">
        <v>64</v>
      </c>
      <c r="K444" t="s">
        <v>40</v>
      </c>
      <c r="L444" t="s">
        <v>85</v>
      </c>
    </row>
    <row r="445" spans="1:12" x14ac:dyDescent="0.25">
      <c r="A445">
        <v>10444</v>
      </c>
      <c r="B445" s="5">
        <v>46045</v>
      </c>
      <c r="C445" t="s">
        <v>54</v>
      </c>
      <c r="D445" t="s">
        <v>73</v>
      </c>
      <c r="E445" t="s">
        <v>44</v>
      </c>
      <c r="F445" t="s">
        <v>35</v>
      </c>
      <c r="G445">
        <v>7</v>
      </c>
      <c r="H445" s="6">
        <v>90000</v>
      </c>
      <c r="I445" s="6">
        <v>630000</v>
      </c>
      <c r="J445" t="s">
        <v>64</v>
      </c>
      <c r="K445" t="s">
        <v>40</v>
      </c>
      <c r="L445" t="s">
        <v>85</v>
      </c>
    </row>
    <row r="446" spans="1:12" x14ac:dyDescent="0.25">
      <c r="A446">
        <v>10445</v>
      </c>
      <c r="B446" s="5">
        <v>46186</v>
      </c>
      <c r="C446" t="s">
        <v>54</v>
      </c>
      <c r="D446" t="s">
        <v>39</v>
      </c>
      <c r="E446" t="s">
        <v>50</v>
      </c>
      <c r="F446" t="s">
        <v>33</v>
      </c>
      <c r="G446">
        <v>3</v>
      </c>
      <c r="H446" s="6">
        <v>12000</v>
      </c>
      <c r="I446" s="6">
        <v>36000</v>
      </c>
      <c r="J446" t="s">
        <v>64</v>
      </c>
      <c r="K446" t="s">
        <v>48</v>
      </c>
      <c r="L446" t="s">
        <v>84</v>
      </c>
    </row>
    <row r="447" spans="1:12" x14ac:dyDescent="0.25">
      <c r="A447">
        <v>10446</v>
      </c>
      <c r="B447" s="5">
        <v>46148</v>
      </c>
      <c r="C447" t="s">
        <v>72</v>
      </c>
      <c r="D447" t="s">
        <v>55</v>
      </c>
      <c r="E447" t="s">
        <v>67</v>
      </c>
      <c r="F447" t="s">
        <v>35</v>
      </c>
      <c r="G447">
        <v>8</v>
      </c>
      <c r="H447" s="6">
        <v>50000</v>
      </c>
      <c r="I447" s="6">
        <v>400000</v>
      </c>
      <c r="J447" t="s">
        <v>41</v>
      </c>
      <c r="K447" t="s">
        <v>40</v>
      </c>
      <c r="L447" t="s">
        <v>85</v>
      </c>
    </row>
    <row r="448" spans="1:12" x14ac:dyDescent="0.25">
      <c r="A448">
        <v>10447</v>
      </c>
      <c r="B448" s="5">
        <v>46249</v>
      </c>
      <c r="C448" t="s">
        <v>62</v>
      </c>
      <c r="D448" t="s">
        <v>55</v>
      </c>
      <c r="E448" t="s">
        <v>53</v>
      </c>
      <c r="F448" t="s">
        <v>36</v>
      </c>
      <c r="G448">
        <v>6</v>
      </c>
      <c r="H448" s="6">
        <v>180000</v>
      </c>
      <c r="I448" s="6">
        <v>1080000</v>
      </c>
      <c r="J448" t="s">
        <v>49</v>
      </c>
      <c r="K448" t="s">
        <v>40</v>
      </c>
      <c r="L448" t="s">
        <v>87</v>
      </c>
    </row>
    <row r="449" spans="1:12" x14ac:dyDescent="0.25">
      <c r="A449">
        <v>10448</v>
      </c>
      <c r="B449" s="5">
        <v>46090</v>
      </c>
      <c r="C449" t="s">
        <v>46</v>
      </c>
      <c r="D449" t="s">
        <v>55</v>
      </c>
      <c r="E449" t="s">
        <v>67</v>
      </c>
      <c r="F449" t="s">
        <v>35</v>
      </c>
      <c r="G449">
        <v>8</v>
      </c>
      <c r="H449" s="6">
        <v>50000</v>
      </c>
      <c r="I449" s="6">
        <v>400000</v>
      </c>
      <c r="J449" t="s">
        <v>41</v>
      </c>
      <c r="K449" t="s">
        <v>40</v>
      </c>
      <c r="L449" t="s">
        <v>85</v>
      </c>
    </row>
    <row r="450" spans="1:12" x14ac:dyDescent="0.25">
      <c r="A450">
        <v>10449</v>
      </c>
      <c r="B450" s="5">
        <v>46229</v>
      </c>
      <c r="C450" t="s">
        <v>69</v>
      </c>
      <c r="D450" t="s">
        <v>63</v>
      </c>
      <c r="E450" t="s">
        <v>42</v>
      </c>
      <c r="F450" t="s">
        <v>33</v>
      </c>
      <c r="G450">
        <v>6</v>
      </c>
      <c r="H450" s="6">
        <v>650000</v>
      </c>
      <c r="I450" s="6">
        <v>3900000</v>
      </c>
      <c r="J450" t="s">
        <v>49</v>
      </c>
      <c r="K450" t="s">
        <v>40</v>
      </c>
      <c r="L450" t="s">
        <v>84</v>
      </c>
    </row>
    <row r="451" spans="1:12" x14ac:dyDescent="0.25">
      <c r="A451">
        <v>10450</v>
      </c>
      <c r="B451" s="5">
        <v>46169</v>
      </c>
      <c r="C451" t="s">
        <v>46</v>
      </c>
      <c r="D451" t="s">
        <v>63</v>
      </c>
      <c r="E451" t="s">
        <v>68</v>
      </c>
      <c r="F451" t="s">
        <v>36</v>
      </c>
      <c r="G451">
        <v>8</v>
      </c>
      <c r="H451" s="6">
        <v>18000</v>
      </c>
      <c r="I451" s="6">
        <v>144000</v>
      </c>
      <c r="J451" t="s">
        <v>57</v>
      </c>
      <c r="K451" t="s">
        <v>40</v>
      </c>
      <c r="L451" t="s">
        <v>87</v>
      </c>
    </row>
    <row r="452" spans="1:12" x14ac:dyDescent="0.25">
      <c r="A452">
        <v>10451</v>
      </c>
      <c r="B452" s="5">
        <v>46053</v>
      </c>
      <c r="C452" t="s">
        <v>62</v>
      </c>
      <c r="D452" t="s">
        <v>47</v>
      </c>
      <c r="E452" t="s">
        <v>71</v>
      </c>
      <c r="F452" t="s">
        <v>33</v>
      </c>
      <c r="G452">
        <v>3</v>
      </c>
      <c r="H452" s="6">
        <v>45000</v>
      </c>
      <c r="I452" s="6">
        <v>135000</v>
      </c>
      <c r="J452" t="s">
        <v>49</v>
      </c>
      <c r="K452" t="s">
        <v>56</v>
      </c>
      <c r="L452" t="s">
        <v>84</v>
      </c>
    </row>
    <row r="453" spans="1:12" x14ac:dyDescent="0.25">
      <c r="A453">
        <v>10452</v>
      </c>
      <c r="B453" s="5">
        <v>46131</v>
      </c>
      <c r="C453" t="s">
        <v>38</v>
      </c>
      <c r="D453" t="s">
        <v>73</v>
      </c>
      <c r="E453" t="s">
        <v>51</v>
      </c>
      <c r="F453" t="s">
        <v>34</v>
      </c>
      <c r="G453">
        <v>1</v>
      </c>
      <c r="H453" s="6">
        <v>55000</v>
      </c>
      <c r="I453" s="6">
        <v>55000</v>
      </c>
      <c r="J453" t="s">
        <v>64</v>
      </c>
      <c r="K453" t="s">
        <v>40</v>
      </c>
      <c r="L453" t="s">
        <v>86</v>
      </c>
    </row>
    <row r="454" spans="1:12" x14ac:dyDescent="0.25">
      <c r="A454">
        <v>10453</v>
      </c>
      <c r="B454" s="5">
        <v>46256</v>
      </c>
      <c r="C454" t="s">
        <v>72</v>
      </c>
      <c r="D454" t="s">
        <v>39</v>
      </c>
      <c r="E454" t="s">
        <v>59</v>
      </c>
      <c r="F454" t="s">
        <v>34</v>
      </c>
      <c r="G454">
        <v>6</v>
      </c>
      <c r="H454" s="6">
        <v>70000</v>
      </c>
      <c r="I454" s="6">
        <v>420000</v>
      </c>
      <c r="J454" t="s">
        <v>41</v>
      </c>
      <c r="K454" t="s">
        <v>40</v>
      </c>
      <c r="L454" t="s">
        <v>86</v>
      </c>
    </row>
    <row r="455" spans="1:12" x14ac:dyDescent="0.25">
      <c r="A455">
        <v>10454</v>
      </c>
      <c r="B455" s="5">
        <v>46156</v>
      </c>
      <c r="C455" t="s">
        <v>62</v>
      </c>
      <c r="D455" t="s">
        <v>39</v>
      </c>
      <c r="E455" t="s">
        <v>61</v>
      </c>
      <c r="F455" t="s">
        <v>36</v>
      </c>
      <c r="G455">
        <v>5</v>
      </c>
      <c r="H455" s="6">
        <v>45000</v>
      </c>
      <c r="I455" s="6">
        <v>225000</v>
      </c>
      <c r="J455" t="s">
        <v>64</v>
      </c>
      <c r="K455" t="s">
        <v>40</v>
      </c>
      <c r="L455" t="s">
        <v>87</v>
      </c>
    </row>
    <row r="456" spans="1:12" x14ac:dyDescent="0.25">
      <c r="A456">
        <v>10455</v>
      </c>
      <c r="B456" s="5">
        <v>46259</v>
      </c>
      <c r="C456" t="s">
        <v>38</v>
      </c>
      <c r="D456" t="s">
        <v>70</v>
      </c>
      <c r="E456" t="s">
        <v>51</v>
      </c>
      <c r="F456" t="s">
        <v>34</v>
      </c>
      <c r="G456">
        <v>2</v>
      </c>
      <c r="H456" s="6">
        <v>55000</v>
      </c>
      <c r="I456" s="6">
        <v>110000</v>
      </c>
      <c r="J456" t="s">
        <v>41</v>
      </c>
      <c r="K456" t="s">
        <v>48</v>
      </c>
      <c r="L456" t="s">
        <v>86</v>
      </c>
    </row>
    <row r="457" spans="1:12" x14ac:dyDescent="0.25">
      <c r="A457">
        <v>10456</v>
      </c>
      <c r="B457" s="5">
        <v>46121</v>
      </c>
      <c r="C457" t="s">
        <v>72</v>
      </c>
      <c r="D457" t="s">
        <v>63</v>
      </c>
      <c r="E457" t="s">
        <v>67</v>
      </c>
      <c r="F457" t="s">
        <v>35</v>
      </c>
      <c r="G457">
        <v>5</v>
      </c>
      <c r="H457" s="6">
        <v>50000</v>
      </c>
      <c r="I457" s="6">
        <v>250000</v>
      </c>
      <c r="J457" t="s">
        <v>64</v>
      </c>
      <c r="K457" t="s">
        <v>40</v>
      </c>
      <c r="L457" t="s">
        <v>85</v>
      </c>
    </row>
    <row r="458" spans="1:12" x14ac:dyDescent="0.25">
      <c r="A458">
        <v>10457</v>
      </c>
      <c r="B458" s="5">
        <v>46181</v>
      </c>
      <c r="C458" t="s">
        <v>69</v>
      </c>
      <c r="D458" t="s">
        <v>73</v>
      </c>
      <c r="E458" t="s">
        <v>67</v>
      </c>
      <c r="F458" t="s">
        <v>35</v>
      </c>
      <c r="G458">
        <v>3</v>
      </c>
      <c r="H458" s="6">
        <v>50000</v>
      </c>
      <c r="I458" s="6">
        <v>150000</v>
      </c>
      <c r="J458" t="s">
        <v>64</v>
      </c>
      <c r="K458" t="s">
        <v>40</v>
      </c>
      <c r="L458" t="s">
        <v>85</v>
      </c>
    </row>
    <row r="459" spans="1:12" x14ac:dyDescent="0.25">
      <c r="A459">
        <v>10458</v>
      </c>
      <c r="B459" s="5">
        <v>46213</v>
      </c>
      <c r="C459" t="s">
        <v>62</v>
      </c>
      <c r="D459" t="s">
        <v>55</v>
      </c>
      <c r="E459" t="s">
        <v>52</v>
      </c>
      <c r="F459" t="s">
        <v>35</v>
      </c>
      <c r="G459">
        <v>1</v>
      </c>
      <c r="H459" s="6">
        <v>30000</v>
      </c>
      <c r="I459" s="6">
        <v>30000</v>
      </c>
      <c r="J459" t="s">
        <v>57</v>
      </c>
      <c r="K459" t="s">
        <v>40</v>
      </c>
      <c r="L459" t="s">
        <v>85</v>
      </c>
    </row>
    <row r="460" spans="1:12" x14ac:dyDescent="0.25">
      <c r="A460">
        <v>10459</v>
      </c>
      <c r="B460" s="5">
        <v>46238</v>
      </c>
      <c r="C460" t="s">
        <v>62</v>
      </c>
      <c r="D460" t="s">
        <v>73</v>
      </c>
      <c r="E460" t="s">
        <v>60</v>
      </c>
      <c r="F460" t="s">
        <v>35</v>
      </c>
      <c r="G460">
        <v>5</v>
      </c>
      <c r="H460" s="6">
        <v>65000</v>
      </c>
      <c r="I460" s="6">
        <v>325000</v>
      </c>
      <c r="J460" t="s">
        <v>41</v>
      </c>
      <c r="K460" t="s">
        <v>56</v>
      </c>
      <c r="L460" t="s">
        <v>85</v>
      </c>
    </row>
    <row r="461" spans="1:12" x14ac:dyDescent="0.25">
      <c r="A461">
        <v>10460</v>
      </c>
      <c r="B461" s="5">
        <v>46213</v>
      </c>
      <c r="C461" t="s">
        <v>62</v>
      </c>
      <c r="D461" t="s">
        <v>55</v>
      </c>
      <c r="E461" t="s">
        <v>51</v>
      </c>
      <c r="F461" t="s">
        <v>34</v>
      </c>
      <c r="G461">
        <v>5</v>
      </c>
      <c r="H461" s="6">
        <v>55000</v>
      </c>
      <c r="I461" s="6">
        <v>275000</v>
      </c>
      <c r="J461" t="s">
        <v>57</v>
      </c>
      <c r="K461" t="s">
        <v>40</v>
      </c>
      <c r="L461" t="s">
        <v>86</v>
      </c>
    </row>
    <row r="462" spans="1:12" x14ac:dyDescent="0.25">
      <c r="A462">
        <v>10461</v>
      </c>
      <c r="B462" s="5">
        <v>46077</v>
      </c>
      <c r="C462" t="s">
        <v>62</v>
      </c>
      <c r="D462" t="s">
        <v>73</v>
      </c>
      <c r="E462" t="s">
        <v>50</v>
      </c>
      <c r="F462" t="s">
        <v>33</v>
      </c>
      <c r="G462">
        <v>8</v>
      </c>
      <c r="H462" s="6">
        <v>12000</v>
      </c>
      <c r="I462" s="6">
        <v>96000</v>
      </c>
      <c r="J462" t="s">
        <v>64</v>
      </c>
      <c r="K462" t="s">
        <v>48</v>
      </c>
      <c r="L462" t="s">
        <v>84</v>
      </c>
    </row>
    <row r="463" spans="1:12" x14ac:dyDescent="0.25">
      <c r="A463">
        <v>10462</v>
      </c>
      <c r="B463" s="5">
        <v>46039</v>
      </c>
      <c r="C463" t="s">
        <v>54</v>
      </c>
      <c r="D463" t="s">
        <v>73</v>
      </c>
      <c r="E463" t="s">
        <v>44</v>
      </c>
      <c r="F463" t="s">
        <v>35</v>
      </c>
      <c r="G463">
        <v>3</v>
      </c>
      <c r="H463" s="6">
        <v>90000</v>
      </c>
      <c r="I463" s="6">
        <v>270000</v>
      </c>
      <c r="J463" t="s">
        <v>64</v>
      </c>
      <c r="K463" t="s">
        <v>40</v>
      </c>
      <c r="L463" t="s">
        <v>85</v>
      </c>
    </row>
    <row r="464" spans="1:12" x14ac:dyDescent="0.25">
      <c r="A464">
        <v>10463</v>
      </c>
      <c r="B464" s="5">
        <v>46247</v>
      </c>
      <c r="C464" t="s">
        <v>46</v>
      </c>
      <c r="D464" t="s">
        <v>39</v>
      </c>
      <c r="E464" t="s">
        <v>50</v>
      </c>
      <c r="F464" t="s">
        <v>33</v>
      </c>
      <c r="G464">
        <v>4</v>
      </c>
      <c r="H464" s="6">
        <v>12000</v>
      </c>
      <c r="I464" s="6">
        <v>48000</v>
      </c>
      <c r="J464" t="s">
        <v>49</v>
      </c>
      <c r="K464" t="s">
        <v>40</v>
      </c>
      <c r="L464" t="s">
        <v>84</v>
      </c>
    </row>
    <row r="465" spans="1:12" x14ac:dyDescent="0.25">
      <c r="A465">
        <v>10464</v>
      </c>
      <c r="B465" s="5">
        <v>46093</v>
      </c>
      <c r="C465" t="s">
        <v>54</v>
      </c>
      <c r="D465" t="s">
        <v>63</v>
      </c>
      <c r="E465" t="s">
        <v>58</v>
      </c>
      <c r="F465" t="s">
        <v>33</v>
      </c>
      <c r="G465">
        <v>4</v>
      </c>
      <c r="H465" s="6">
        <v>25000</v>
      </c>
      <c r="I465" s="6">
        <v>100000</v>
      </c>
      <c r="J465" t="s">
        <v>64</v>
      </c>
      <c r="K465" t="s">
        <v>40</v>
      </c>
      <c r="L465" t="s">
        <v>84</v>
      </c>
    </row>
    <row r="466" spans="1:12" x14ac:dyDescent="0.25">
      <c r="A466">
        <v>10465</v>
      </c>
      <c r="B466" s="5">
        <v>46084</v>
      </c>
      <c r="C466" t="s">
        <v>54</v>
      </c>
      <c r="D466" t="s">
        <v>63</v>
      </c>
      <c r="E466" t="s">
        <v>74</v>
      </c>
      <c r="F466" t="s">
        <v>33</v>
      </c>
      <c r="G466">
        <v>1</v>
      </c>
      <c r="H466" s="6">
        <v>220000</v>
      </c>
      <c r="I466" s="6">
        <v>220000</v>
      </c>
      <c r="J466" t="s">
        <v>64</v>
      </c>
      <c r="K466" t="s">
        <v>40</v>
      </c>
      <c r="L466" t="s">
        <v>84</v>
      </c>
    </row>
    <row r="467" spans="1:12" x14ac:dyDescent="0.25">
      <c r="A467">
        <v>10466</v>
      </c>
      <c r="B467" s="5">
        <v>46064</v>
      </c>
      <c r="C467" t="s">
        <v>54</v>
      </c>
      <c r="D467" t="s">
        <v>73</v>
      </c>
      <c r="E467" t="s">
        <v>61</v>
      </c>
      <c r="F467" t="s">
        <v>36</v>
      </c>
      <c r="G467">
        <v>6</v>
      </c>
      <c r="H467" s="6">
        <v>45000</v>
      </c>
      <c r="I467" s="6">
        <v>270000</v>
      </c>
      <c r="J467" t="s">
        <v>41</v>
      </c>
      <c r="K467" t="s">
        <v>40</v>
      </c>
      <c r="L467" t="s">
        <v>87</v>
      </c>
    </row>
    <row r="468" spans="1:12" x14ac:dyDescent="0.25">
      <c r="A468">
        <v>10467</v>
      </c>
      <c r="B468" s="5">
        <v>46241</v>
      </c>
      <c r="C468" t="s">
        <v>69</v>
      </c>
      <c r="D468" t="s">
        <v>47</v>
      </c>
      <c r="E468" t="s">
        <v>45</v>
      </c>
      <c r="F468" t="s">
        <v>36</v>
      </c>
      <c r="G468">
        <v>3</v>
      </c>
      <c r="H468" s="6">
        <v>140000</v>
      </c>
      <c r="I468" s="6">
        <v>420000</v>
      </c>
      <c r="J468" t="s">
        <v>49</v>
      </c>
      <c r="K468" t="s">
        <v>40</v>
      </c>
      <c r="L468" t="s">
        <v>87</v>
      </c>
    </row>
    <row r="469" spans="1:12" x14ac:dyDescent="0.25">
      <c r="A469">
        <v>10468</v>
      </c>
      <c r="B469" s="5">
        <v>46154</v>
      </c>
      <c r="C469" t="s">
        <v>38</v>
      </c>
      <c r="D469" t="s">
        <v>73</v>
      </c>
      <c r="E469" t="s">
        <v>59</v>
      </c>
      <c r="F469" t="s">
        <v>34</v>
      </c>
      <c r="G469">
        <v>7</v>
      </c>
      <c r="H469" s="6">
        <v>70000</v>
      </c>
      <c r="I469" s="6">
        <v>490000</v>
      </c>
      <c r="J469" t="s">
        <v>41</v>
      </c>
      <c r="K469" t="s">
        <v>40</v>
      </c>
      <c r="L469" t="s">
        <v>86</v>
      </c>
    </row>
    <row r="470" spans="1:12" x14ac:dyDescent="0.25">
      <c r="A470">
        <v>10469</v>
      </c>
      <c r="B470" s="5">
        <v>46080</v>
      </c>
      <c r="C470" t="s">
        <v>54</v>
      </c>
      <c r="D470" t="s">
        <v>70</v>
      </c>
      <c r="E470" t="s">
        <v>51</v>
      </c>
      <c r="F470" t="s">
        <v>34</v>
      </c>
      <c r="G470">
        <v>1</v>
      </c>
      <c r="H470" s="6">
        <v>55000</v>
      </c>
      <c r="I470" s="6">
        <v>55000</v>
      </c>
      <c r="J470" t="s">
        <v>57</v>
      </c>
      <c r="K470" t="s">
        <v>40</v>
      </c>
      <c r="L470" t="s">
        <v>86</v>
      </c>
    </row>
    <row r="471" spans="1:12" x14ac:dyDescent="0.25">
      <c r="A471">
        <v>10470</v>
      </c>
      <c r="B471" s="5">
        <v>46241</v>
      </c>
      <c r="C471" t="s">
        <v>54</v>
      </c>
      <c r="D471" t="s">
        <v>63</v>
      </c>
      <c r="E471" t="s">
        <v>67</v>
      </c>
      <c r="F471" t="s">
        <v>35</v>
      </c>
      <c r="G471">
        <v>7</v>
      </c>
      <c r="H471" s="6">
        <v>50000</v>
      </c>
      <c r="I471" s="6">
        <v>350000</v>
      </c>
      <c r="J471" t="s">
        <v>57</v>
      </c>
      <c r="K471" t="s">
        <v>40</v>
      </c>
      <c r="L471" t="s">
        <v>85</v>
      </c>
    </row>
    <row r="472" spans="1:12" x14ac:dyDescent="0.25">
      <c r="A472">
        <v>10471</v>
      </c>
      <c r="B472" s="5">
        <v>46024</v>
      </c>
      <c r="C472" t="s">
        <v>69</v>
      </c>
      <c r="D472" t="s">
        <v>73</v>
      </c>
      <c r="E472" t="s">
        <v>67</v>
      </c>
      <c r="F472" t="s">
        <v>35</v>
      </c>
      <c r="G472">
        <v>2</v>
      </c>
      <c r="H472" s="6">
        <v>50000</v>
      </c>
      <c r="I472" s="6">
        <v>100000</v>
      </c>
      <c r="J472" t="s">
        <v>57</v>
      </c>
      <c r="K472" t="s">
        <v>40</v>
      </c>
      <c r="L472" t="s">
        <v>85</v>
      </c>
    </row>
    <row r="473" spans="1:12" x14ac:dyDescent="0.25">
      <c r="A473">
        <v>10472</v>
      </c>
      <c r="B473" s="5">
        <v>46146</v>
      </c>
      <c r="C473" t="s">
        <v>38</v>
      </c>
      <c r="D473" t="s">
        <v>55</v>
      </c>
      <c r="E473" t="s">
        <v>60</v>
      </c>
      <c r="F473" t="s">
        <v>35</v>
      </c>
      <c r="G473">
        <v>2</v>
      </c>
      <c r="H473" s="6">
        <v>65000</v>
      </c>
      <c r="I473" s="6">
        <v>130000</v>
      </c>
      <c r="J473" t="s">
        <v>57</v>
      </c>
      <c r="K473" t="s">
        <v>40</v>
      </c>
      <c r="L473" t="s">
        <v>85</v>
      </c>
    </row>
    <row r="474" spans="1:12" x14ac:dyDescent="0.25">
      <c r="A474">
        <v>10473</v>
      </c>
      <c r="B474" s="5">
        <v>46071</v>
      </c>
      <c r="C474" t="s">
        <v>46</v>
      </c>
      <c r="D474" t="s">
        <v>70</v>
      </c>
      <c r="E474" t="s">
        <v>60</v>
      </c>
      <c r="F474" t="s">
        <v>35</v>
      </c>
      <c r="G474">
        <v>5</v>
      </c>
      <c r="H474" s="6">
        <v>65000</v>
      </c>
      <c r="I474" s="6">
        <v>325000</v>
      </c>
      <c r="J474" t="s">
        <v>49</v>
      </c>
      <c r="K474" t="s">
        <v>48</v>
      </c>
      <c r="L474" t="s">
        <v>85</v>
      </c>
    </row>
    <row r="475" spans="1:12" x14ac:dyDescent="0.25">
      <c r="A475">
        <v>10474</v>
      </c>
      <c r="B475" s="5">
        <v>46207</v>
      </c>
      <c r="C475" t="s">
        <v>38</v>
      </c>
      <c r="D475" t="s">
        <v>73</v>
      </c>
      <c r="E475" t="s">
        <v>61</v>
      </c>
      <c r="F475" t="s">
        <v>36</v>
      </c>
      <c r="G475">
        <v>3</v>
      </c>
      <c r="H475" s="6">
        <v>45000</v>
      </c>
      <c r="I475" s="6">
        <v>135000</v>
      </c>
      <c r="J475" t="s">
        <v>64</v>
      </c>
      <c r="K475" t="s">
        <v>56</v>
      </c>
      <c r="L475" t="s">
        <v>87</v>
      </c>
    </row>
    <row r="476" spans="1:12" x14ac:dyDescent="0.25">
      <c r="A476">
        <v>10475</v>
      </c>
      <c r="B476" s="5">
        <v>46122</v>
      </c>
      <c r="C476" t="s">
        <v>72</v>
      </c>
      <c r="D476" t="s">
        <v>39</v>
      </c>
      <c r="E476" t="s">
        <v>67</v>
      </c>
      <c r="F476" t="s">
        <v>35</v>
      </c>
      <c r="G476">
        <v>7</v>
      </c>
      <c r="H476" s="6">
        <v>50000</v>
      </c>
      <c r="I476" s="6">
        <v>350000</v>
      </c>
      <c r="J476" t="s">
        <v>49</v>
      </c>
      <c r="K476" t="s">
        <v>40</v>
      </c>
      <c r="L476" t="s">
        <v>85</v>
      </c>
    </row>
    <row r="477" spans="1:12" x14ac:dyDescent="0.25">
      <c r="A477">
        <v>10476</v>
      </c>
      <c r="B477" s="5">
        <v>46152</v>
      </c>
      <c r="C477" t="s">
        <v>54</v>
      </c>
      <c r="D477" t="s">
        <v>47</v>
      </c>
      <c r="E477" t="s">
        <v>66</v>
      </c>
      <c r="F477" t="s">
        <v>34</v>
      </c>
      <c r="G477">
        <v>6</v>
      </c>
      <c r="H477" s="6">
        <v>120000</v>
      </c>
      <c r="I477" s="6">
        <v>720000</v>
      </c>
      <c r="J477" t="s">
        <v>49</v>
      </c>
      <c r="K477" t="s">
        <v>40</v>
      </c>
      <c r="L477" t="s">
        <v>86</v>
      </c>
    </row>
    <row r="478" spans="1:12" x14ac:dyDescent="0.25">
      <c r="A478">
        <v>10477</v>
      </c>
      <c r="B478" s="5">
        <v>46208</v>
      </c>
      <c r="C478" t="s">
        <v>69</v>
      </c>
      <c r="D478" t="s">
        <v>47</v>
      </c>
      <c r="E478" t="s">
        <v>53</v>
      </c>
      <c r="F478" t="s">
        <v>36</v>
      </c>
      <c r="G478">
        <v>5</v>
      </c>
      <c r="H478" s="6">
        <v>180000</v>
      </c>
      <c r="I478" s="6">
        <v>900000</v>
      </c>
      <c r="J478" t="s">
        <v>57</v>
      </c>
      <c r="K478" t="s">
        <v>40</v>
      </c>
      <c r="L478" t="s">
        <v>87</v>
      </c>
    </row>
    <row r="479" spans="1:12" x14ac:dyDescent="0.25">
      <c r="A479">
        <v>10478</v>
      </c>
      <c r="B479" s="5">
        <v>46213</v>
      </c>
      <c r="C479" t="s">
        <v>54</v>
      </c>
      <c r="D479" t="s">
        <v>63</v>
      </c>
      <c r="E479" t="s">
        <v>59</v>
      </c>
      <c r="F479" t="s">
        <v>34</v>
      </c>
      <c r="G479">
        <v>4</v>
      </c>
      <c r="H479" s="6">
        <v>70000</v>
      </c>
      <c r="I479" s="6">
        <v>280000</v>
      </c>
      <c r="J479" t="s">
        <v>57</v>
      </c>
      <c r="K479" t="s">
        <v>40</v>
      </c>
      <c r="L479" t="s">
        <v>86</v>
      </c>
    </row>
    <row r="480" spans="1:12" x14ac:dyDescent="0.25">
      <c r="A480">
        <v>10479</v>
      </c>
      <c r="B480" s="5">
        <v>46143</v>
      </c>
      <c r="C480" t="s">
        <v>38</v>
      </c>
      <c r="D480" t="s">
        <v>73</v>
      </c>
      <c r="E480" t="s">
        <v>67</v>
      </c>
      <c r="F480" t="s">
        <v>35</v>
      </c>
      <c r="G480">
        <v>2</v>
      </c>
      <c r="H480" s="6">
        <v>50000</v>
      </c>
      <c r="I480" s="6">
        <v>100000</v>
      </c>
      <c r="J480" t="s">
        <v>41</v>
      </c>
      <c r="K480" t="s">
        <v>40</v>
      </c>
      <c r="L480" t="s">
        <v>85</v>
      </c>
    </row>
    <row r="481" spans="1:12" x14ac:dyDescent="0.25">
      <c r="A481">
        <v>10480</v>
      </c>
      <c r="B481" s="5">
        <v>46158</v>
      </c>
      <c r="C481" t="s">
        <v>54</v>
      </c>
      <c r="D481" t="s">
        <v>63</v>
      </c>
      <c r="E481" t="s">
        <v>43</v>
      </c>
      <c r="F481" t="s">
        <v>34</v>
      </c>
      <c r="G481">
        <v>7</v>
      </c>
      <c r="H481" s="6">
        <v>35000</v>
      </c>
      <c r="I481" s="6">
        <v>245000</v>
      </c>
      <c r="J481" t="s">
        <v>41</v>
      </c>
      <c r="K481" t="s">
        <v>48</v>
      </c>
      <c r="L481" t="s">
        <v>86</v>
      </c>
    </row>
    <row r="482" spans="1:12" x14ac:dyDescent="0.25">
      <c r="A482">
        <v>10481</v>
      </c>
      <c r="B482" s="5">
        <v>46110</v>
      </c>
      <c r="C482" t="s">
        <v>62</v>
      </c>
      <c r="D482" t="s">
        <v>70</v>
      </c>
      <c r="E482" t="s">
        <v>51</v>
      </c>
      <c r="F482" t="s">
        <v>34</v>
      </c>
      <c r="G482">
        <v>4</v>
      </c>
      <c r="H482" s="6">
        <v>55000</v>
      </c>
      <c r="I482" s="6">
        <v>220000</v>
      </c>
      <c r="J482" t="s">
        <v>64</v>
      </c>
      <c r="K482" t="s">
        <v>40</v>
      </c>
      <c r="L482" t="s">
        <v>86</v>
      </c>
    </row>
    <row r="483" spans="1:12" x14ac:dyDescent="0.25">
      <c r="A483">
        <v>10482</v>
      </c>
      <c r="B483" s="5">
        <v>46108</v>
      </c>
      <c r="C483" t="s">
        <v>72</v>
      </c>
      <c r="D483" t="s">
        <v>47</v>
      </c>
      <c r="E483" t="s">
        <v>43</v>
      </c>
      <c r="F483" t="s">
        <v>34</v>
      </c>
      <c r="G483">
        <v>8</v>
      </c>
      <c r="H483" s="6">
        <v>35000</v>
      </c>
      <c r="I483" s="6">
        <v>280000</v>
      </c>
      <c r="J483" t="s">
        <v>57</v>
      </c>
      <c r="K483" t="s">
        <v>40</v>
      </c>
      <c r="L483" t="s">
        <v>86</v>
      </c>
    </row>
    <row r="484" spans="1:12" x14ac:dyDescent="0.25">
      <c r="A484">
        <v>10483</v>
      </c>
      <c r="B484" s="5">
        <v>46076</v>
      </c>
      <c r="C484" t="s">
        <v>46</v>
      </c>
      <c r="D484" t="s">
        <v>70</v>
      </c>
      <c r="E484" t="s">
        <v>65</v>
      </c>
      <c r="F484" t="s">
        <v>33</v>
      </c>
      <c r="G484">
        <v>5</v>
      </c>
      <c r="H484" s="6">
        <v>180000</v>
      </c>
      <c r="I484" s="6">
        <v>900000</v>
      </c>
      <c r="J484" t="s">
        <v>49</v>
      </c>
      <c r="K484" t="s">
        <v>40</v>
      </c>
      <c r="L484" t="s">
        <v>84</v>
      </c>
    </row>
    <row r="485" spans="1:12" x14ac:dyDescent="0.25">
      <c r="A485">
        <v>10484</v>
      </c>
      <c r="B485" s="5">
        <v>46185</v>
      </c>
      <c r="C485" t="s">
        <v>62</v>
      </c>
      <c r="D485" t="s">
        <v>63</v>
      </c>
      <c r="E485" t="s">
        <v>50</v>
      </c>
      <c r="F485" t="s">
        <v>33</v>
      </c>
      <c r="G485">
        <v>7</v>
      </c>
      <c r="H485" s="6">
        <v>12000</v>
      </c>
      <c r="I485" s="6">
        <v>84000</v>
      </c>
      <c r="J485" t="s">
        <v>64</v>
      </c>
      <c r="K485" t="s">
        <v>56</v>
      </c>
      <c r="L485" t="s">
        <v>84</v>
      </c>
    </row>
    <row r="486" spans="1:12" x14ac:dyDescent="0.25">
      <c r="A486">
        <v>10485</v>
      </c>
      <c r="B486" s="5">
        <v>46159</v>
      </c>
      <c r="C486" t="s">
        <v>46</v>
      </c>
      <c r="D486" t="s">
        <v>73</v>
      </c>
      <c r="E486" t="s">
        <v>45</v>
      </c>
      <c r="F486" t="s">
        <v>36</v>
      </c>
      <c r="G486">
        <v>1</v>
      </c>
      <c r="H486" s="6">
        <v>140000</v>
      </c>
      <c r="I486" s="6">
        <v>140000</v>
      </c>
      <c r="J486" t="s">
        <v>57</v>
      </c>
      <c r="K486" t="s">
        <v>56</v>
      </c>
      <c r="L486" t="s">
        <v>87</v>
      </c>
    </row>
    <row r="487" spans="1:12" x14ac:dyDescent="0.25">
      <c r="A487">
        <v>10486</v>
      </c>
      <c r="B487" s="5">
        <v>46196</v>
      </c>
      <c r="C487" t="s">
        <v>38</v>
      </c>
      <c r="D487" t="s">
        <v>73</v>
      </c>
      <c r="E487" t="s">
        <v>52</v>
      </c>
      <c r="F487" t="s">
        <v>35</v>
      </c>
      <c r="G487">
        <v>1</v>
      </c>
      <c r="H487" s="6">
        <v>30000</v>
      </c>
      <c r="I487" s="6">
        <v>30000</v>
      </c>
      <c r="J487" t="s">
        <v>49</v>
      </c>
      <c r="K487" t="s">
        <v>40</v>
      </c>
      <c r="L487" t="s">
        <v>85</v>
      </c>
    </row>
    <row r="488" spans="1:12" x14ac:dyDescent="0.25">
      <c r="A488">
        <v>10487</v>
      </c>
      <c r="B488" s="5">
        <v>46049</v>
      </c>
      <c r="C488" t="s">
        <v>62</v>
      </c>
      <c r="D488" t="s">
        <v>70</v>
      </c>
      <c r="E488" t="s">
        <v>60</v>
      </c>
      <c r="F488" t="s">
        <v>35</v>
      </c>
      <c r="G488">
        <v>3</v>
      </c>
      <c r="H488" s="6">
        <v>65000</v>
      </c>
      <c r="I488" s="6">
        <v>195000</v>
      </c>
      <c r="J488" t="s">
        <v>57</v>
      </c>
      <c r="K488" t="s">
        <v>40</v>
      </c>
      <c r="L488" t="s">
        <v>85</v>
      </c>
    </row>
    <row r="489" spans="1:12" x14ac:dyDescent="0.25">
      <c r="A489">
        <v>10488</v>
      </c>
      <c r="B489" s="5">
        <v>46139</v>
      </c>
      <c r="C489" t="s">
        <v>72</v>
      </c>
      <c r="D489" t="s">
        <v>70</v>
      </c>
      <c r="E489" t="s">
        <v>58</v>
      </c>
      <c r="F489" t="s">
        <v>33</v>
      </c>
      <c r="G489">
        <v>5</v>
      </c>
      <c r="H489" s="6">
        <v>25000</v>
      </c>
      <c r="I489" s="6">
        <v>125000</v>
      </c>
      <c r="J489" t="s">
        <v>57</v>
      </c>
      <c r="K489" t="s">
        <v>40</v>
      </c>
      <c r="L489" t="s">
        <v>84</v>
      </c>
    </row>
    <row r="490" spans="1:12" x14ac:dyDescent="0.25">
      <c r="A490">
        <v>10489</v>
      </c>
      <c r="B490" s="5">
        <v>46114</v>
      </c>
      <c r="C490" t="s">
        <v>46</v>
      </c>
      <c r="D490" t="s">
        <v>47</v>
      </c>
      <c r="E490" t="s">
        <v>59</v>
      </c>
      <c r="F490" t="s">
        <v>34</v>
      </c>
      <c r="G490">
        <v>8</v>
      </c>
      <c r="H490" s="6">
        <v>70000</v>
      </c>
      <c r="I490" s="6">
        <v>560000</v>
      </c>
      <c r="J490" t="s">
        <v>64</v>
      </c>
      <c r="K490" t="s">
        <v>40</v>
      </c>
      <c r="L490" t="s">
        <v>86</v>
      </c>
    </row>
    <row r="491" spans="1:12" x14ac:dyDescent="0.25">
      <c r="A491">
        <v>10490</v>
      </c>
      <c r="B491" s="5">
        <v>46210</v>
      </c>
      <c r="C491" t="s">
        <v>38</v>
      </c>
      <c r="D491" t="s">
        <v>70</v>
      </c>
      <c r="E491" t="s">
        <v>51</v>
      </c>
      <c r="F491" t="s">
        <v>34</v>
      </c>
      <c r="G491">
        <v>4</v>
      </c>
      <c r="H491" s="6">
        <v>55000</v>
      </c>
      <c r="I491" s="6">
        <v>220000</v>
      </c>
      <c r="J491" t="s">
        <v>49</v>
      </c>
      <c r="K491" t="s">
        <v>40</v>
      </c>
      <c r="L491" t="s">
        <v>86</v>
      </c>
    </row>
    <row r="492" spans="1:12" x14ac:dyDescent="0.25">
      <c r="A492">
        <v>10491</v>
      </c>
      <c r="B492" s="5">
        <v>46220</v>
      </c>
      <c r="C492" t="s">
        <v>69</v>
      </c>
      <c r="D492" t="s">
        <v>70</v>
      </c>
      <c r="E492" t="s">
        <v>65</v>
      </c>
      <c r="F492" t="s">
        <v>33</v>
      </c>
      <c r="G492">
        <v>5</v>
      </c>
      <c r="H492" s="6">
        <v>180000</v>
      </c>
      <c r="I492" s="6">
        <v>900000</v>
      </c>
      <c r="J492" t="s">
        <v>41</v>
      </c>
      <c r="K492" t="s">
        <v>40</v>
      </c>
      <c r="L492" t="s">
        <v>84</v>
      </c>
    </row>
    <row r="493" spans="1:12" x14ac:dyDescent="0.25">
      <c r="A493">
        <v>10492</v>
      </c>
      <c r="B493" s="5">
        <v>46190</v>
      </c>
      <c r="C493" t="s">
        <v>38</v>
      </c>
      <c r="D493" t="s">
        <v>39</v>
      </c>
      <c r="E493" t="s">
        <v>74</v>
      </c>
      <c r="F493" t="s">
        <v>33</v>
      </c>
      <c r="G493">
        <v>2</v>
      </c>
      <c r="H493" s="6">
        <v>220000</v>
      </c>
      <c r="I493" s="6">
        <v>440000</v>
      </c>
      <c r="J493" t="s">
        <v>41</v>
      </c>
      <c r="K493" t="s">
        <v>40</v>
      </c>
      <c r="L493" t="s">
        <v>84</v>
      </c>
    </row>
    <row r="494" spans="1:12" x14ac:dyDescent="0.25">
      <c r="A494">
        <v>10493</v>
      </c>
      <c r="B494" s="5">
        <v>46144</v>
      </c>
      <c r="C494" t="s">
        <v>72</v>
      </c>
      <c r="D494" t="s">
        <v>47</v>
      </c>
      <c r="E494" t="s">
        <v>45</v>
      </c>
      <c r="F494" t="s">
        <v>36</v>
      </c>
      <c r="G494">
        <v>5</v>
      </c>
      <c r="H494" s="6">
        <v>140000</v>
      </c>
      <c r="I494" s="6">
        <v>700000</v>
      </c>
      <c r="J494" t="s">
        <v>49</v>
      </c>
      <c r="K494" t="s">
        <v>40</v>
      </c>
      <c r="L494" t="s">
        <v>87</v>
      </c>
    </row>
    <row r="495" spans="1:12" x14ac:dyDescent="0.25">
      <c r="A495">
        <v>10494</v>
      </c>
      <c r="B495" s="5">
        <v>46192</v>
      </c>
      <c r="C495" t="s">
        <v>38</v>
      </c>
      <c r="D495" t="s">
        <v>73</v>
      </c>
      <c r="E495" t="s">
        <v>58</v>
      </c>
      <c r="F495" t="s">
        <v>33</v>
      </c>
      <c r="G495">
        <v>7</v>
      </c>
      <c r="H495" s="6">
        <v>25000</v>
      </c>
      <c r="I495" s="6">
        <v>175000</v>
      </c>
      <c r="J495" t="s">
        <v>57</v>
      </c>
      <c r="K495" t="s">
        <v>40</v>
      </c>
      <c r="L495" t="s">
        <v>84</v>
      </c>
    </row>
    <row r="496" spans="1:12" x14ac:dyDescent="0.25">
      <c r="A496">
        <v>10495</v>
      </c>
      <c r="B496" s="5">
        <v>46153</v>
      </c>
      <c r="C496" t="s">
        <v>72</v>
      </c>
      <c r="D496" t="s">
        <v>70</v>
      </c>
      <c r="E496" t="s">
        <v>66</v>
      </c>
      <c r="F496" t="s">
        <v>34</v>
      </c>
      <c r="G496">
        <v>2</v>
      </c>
      <c r="H496" s="6">
        <v>120000</v>
      </c>
      <c r="I496" s="6">
        <v>240000</v>
      </c>
      <c r="J496" t="s">
        <v>41</v>
      </c>
      <c r="K496" t="s">
        <v>40</v>
      </c>
      <c r="L496" t="s">
        <v>86</v>
      </c>
    </row>
    <row r="497" spans="1:12" x14ac:dyDescent="0.25">
      <c r="A497">
        <v>10496</v>
      </c>
      <c r="B497" s="5">
        <v>46178</v>
      </c>
      <c r="C497" t="s">
        <v>46</v>
      </c>
      <c r="D497" t="s">
        <v>55</v>
      </c>
      <c r="E497" t="s">
        <v>65</v>
      </c>
      <c r="F497" t="s">
        <v>33</v>
      </c>
      <c r="G497">
        <v>4</v>
      </c>
      <c r="H497" s="6">
        <v>180000</v>
      </c>
      <c r="I497" s="6">
        <v>720000</v>
      </c>
      <c r="J497" t="s">
        <v>49</v>
      </c>
      <c r="K497" t="s">
        <v>40</v>
      </c>
      <c r="L497" t="s">
        <v>84</v>
      </c>
    </row>
    <row r="498" spans="1:12" x14ac:dyDescent="0.25">
      <c r="A498">
        <v>10497</v>
      </c>
      <c r="B498" s="5">
        <v>46033</v>
      </c>
      <c r="C498" t="s">
        <v>69</v>
      </c>
      <c r="D498" t="s">
        <v>63</v>
      </c>
      <c r="E498" t="s">
        <v>61</v>
      </c>
      <c r="F498" t="s">
        <v>36</v>
      </c>
      <c r="G498">
        <v>3</v>
      </c>
      <c r="H498" s="6">
        <v>45000</v>
      </c>
      <c r="I498" s="6">
        <v>135000</v>
      </c>
      <c r="J498" t="s">
        <v>49</v>
      </c>
      <c r="K498" t="s">
        <v>40</v>
      </c>
      <c r="L498" t="s">
        <v>87</v>
      </c>
    </row>
    <row r="499" spans="1:12" x14ac:dyDescent="0.25">
      <c r="A499">
        <v>10498</v>
      </c>
      <c r="B499" s="5">
        <v>46023</v>
      </c>
      <c r="C499" t="s">
        <v>38</v>
      </c>
      <c r="D499" t="s">
        <v>73</v>
      </c>
      <c r="E499" t="s">
        <v>61</v>
      </c>
      <c r="F499" t="s">
        <v>36</v>
      </c>
      <c r="G499">
        <v>4</v>
      </c>
      <c r="H499" s="6">
        <v>45000</v>
      </c>
      <c r="I499" s="6">
        <v>180000</v>
      </c>
      <c r="J499" t="s">
        <v>41</v>
      </c>
      <c r="K499" t="s">
        <v>48</v>
      </c>
      <c r="L499" t="s">
        <v>87</v>
      </c>
    </row>
    <row r="500" spans="1:12" x14ac:dyDescent="0.25">
      <c r="A500">
        <v>10499</v>
      </c>
      <c r="B500" s="5">
        <v>46222</v>
      </c>
      <c r="C500" t="s">
        <v>69</v>
      </c>
      <c r="D500" t="s">
        <v>39</v>
      </c>
      <c r="E500" t="s">
        <v>53</v>
      </c>
      <c r="F500" t="s">
        <v>36</v>
      </c>
      <c r="G500">
        <v>2</v>
      </c>
      <c r="H500" s="6">
        <v>180000</v>
      </c>
      <c r="I500" s="6">
        <v>360000</v>
      </c>
      <c r="J500" t="s">
        <v>41</v>
      </c>
      <c r="K500" t="s">
        <v>48</v>
      </c>
      <c r="L500" t="s">
        <v>87</v>
      </c>
    </row>
    <row r="501" spans="1:12" x14ac:dyDescent="0.25">
      <c r="A501">
        <v>10500</v>
      </c>
      <c r="B501" s="5">
        <v>46090</v>
      </c>
      <c r="C501" t="s">
        <v>62</v>
      </c>
      <c r="D501" t="s">
        <v>39</v>
      </c>
      <c r="E501" t="s">
        <v>66</v>
      </c>
      <c r="F501" t="s">
        <v>34</v>
      </c>
      <c r="G501">
        <v>5</v>
      </c>
      <c r="H501" s="6">
        <v>120000</v>
      </c>
      <c r="I501" s="6">
        <v>600000</v>
      </c>
      <c r="J501" t="s">
        <v>41</v>
      </c>
      <c r="K501" t="s">
        <v>48</v>
      </c>
      <c r="L501" t="s">
        <v>86</v>
      </c>
    </row>
  </sheetData>
  <autoFilter ref="A1:L50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"/>
  <sheetViews>
    <sheetView showGridLines="0" tabSelected="1" workbookViewId="0">
      <selection activeCell="D12" sqref="D12"/>
    </sheetView>
  </sheetViews>
  <sheetFormatPr baseColWidth="10" defaultColWidth="9.140625" defaultRowHeight="15" x14ac:dyDescent="0.25"/>
  <cols>
    <col min="1" max="1" width="25" customWidth="1"/>
    <col min="2" max="2" width="75" customWidth="1"/>
  </cols>
  <sheetData>
    <row r="1" spans="1:4" ht="18.75" x14ac:dyDescent="0.3">
      <c r="A1" s="13" t="s">
        <v>88</v>
      </c>
      <c r="B1" s="12"/>
      <c r="C1" s="12"/>
      <c r="D1" s="12"/>
    </row>
    <row r="3" spans="1:4" x14ac:dyDescent="0.25">
      <c r="A3" t="s">
        <v>89</v>
      </c>
      <c r="B3" t="s">
        <v>90</v>
      </c>
    </row>
    <row r="5" spans="1:4" x14ac:dyDescent="0.25">
      <c r="A5" t="s">
        <v>91</v>
      </c>
      <c r="B5" s="7"/>
    </row>
  </sheetData>
  <mergeCells count="1">
    <mergeCell ref="A1:D1"/>
  </mergeCell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errorTitle="Valor no válido" error="Selecciona un valor de la lista." xr:uid="{00000000-0002-0000-0300-000000000000}">
          <x14:formula1>
            <xm:f>Listas!$B$2:$B$7</xm:f>
          </x14:formula1>
          <xm:sqref>B5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5"/>
  <sheetViews>
    <sheetView showGridLines="0" workbookViewId="0"/>
  </sheetViews>
  <sheetFormatPr baseColWidth="10" defaultColWidth="9.140625" defaultRowHeight="15" x14ac:dyDescent="0.25"/>
  <cols>
    <col min="1" max="1" width="25" customWidth="1"/>
    <col min="2" max="2" width="75" customWidth="1"/>
  </cols>
  <sheetData>
    <row r="1" spans="1:4" ht="18.75" x14ac:dyDescent="0.3">
      <c r="A1" s="13" t="s">
        <v>92</v>
      </c>
      <c r="B1" s="12"/>
      <c r="C1" s="12"/>
      <c r="D1" s="12"/>
    </row>
    <row r="3" spans="1:4" x14ac:dyDescent="0.25">
      <c r="A3" t="s">
        <v>89</v>
      </c>
      <c r="B3" t="s">
        <v>93</v>
      </c>
    </row>
    <row r="5" spans="1:4" x14ac:dyDescent="0.25">
      <c r="A5" t="s">
        <v>94</v>
      </c>
      <c r="B5" s="7"/>
    </row>
  </sheetData>
  <mergeCells count="1">
    <mergeCell ref="A1:D1"/>
  </mergeCell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errorTitle="Valor no válido" error="Selecciona un valor de la lista." xr:uid="{00000000-0002-0000-0400-000000000000}">
          <x14:formula1>
            <xm:f>Listas!$D$2:$D$4</xm:f>
          </x14:formula1>
          <xm:sqref>B5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5"/>
  <sheetViews>
    <sheetView showGridLines="0" workbookViewId="0"/>
  </sheetViews>
  <sheetFormatPr baseColWidth="10" defaultColWidth="9.140625" defaultRowHeight="15" x14ac:dyDescent="0.25"/>
  <cols>
    <col min="1" max="1" width="25" customWidth="1"/>
    <col min="2" max="2" width="75" customWidth="1"/>
  </cols>
  <sheetData>
    <row r="1" spans="1:4" ht="18.75" x14ac:dyDescent="0.3">
      <c r="A1" s="13" t="s">
        <v>95</v>
      </c>
      <c r="B1" s="12"/>
      <c r="C1" s="12"/>
      <c r="D1" s="12"/>
    </row>
    <row r="3" spans="1:4" x14ac:dyDescent="0.25">
      <c r="A3" t="s">
        <v>89</v>
      </c>
      <c r="B3" t="s">
        <v>96</v>
      </c>
    </row>
    <row r="5" spans="1:4" x14ac:dyDescent="0.25">
      <c r="A5" t="s">
        <v>97</v>
      </c>
      <c r="B5" s="7"/>
    </row>
  </sheetData>
  <mergeCells count="1">
    <mergeCell ref="A1:D1"/>
  </mergeCell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errorTitle="Valor no válido" error="Selecciona un valor de la lista." xr:uid="{00000000-0002-0000-0500-000000000000}">
          <x14:formula1>
            <xm:f>Listas!$C$2:$C$5</xm:f>
          </x14:formula1>
          <xm:sqref>B5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5"/>
  <sheetViews>
    <sheetView showGridLines="0" workbookViewId="0"/>
  </sheetViews>
  <sheetFormatPr baseColWidth="10" defaultColWidth="9.140625" defaultRowHeight="15" x14ac:dyDescent="0.25"/>
  <sheetData>
    <row r="1" spans="1:6" ht="18.75" x14ac:dyDescent="0.3">
      <c r="A1" s="13" t="s">
        <v>98</v>
      </c>
      <c r="B1" s="12"/>
      <c r="C1" s="12"/>
      <c r="D1" s="12"/>
      <c r="E1" s="12"/>
      <c r="F1" s="12"/>
    </row>
    <row r="3" spans="1:6" x14ac:dyDescent="0.25">
      <c r="A3" t="s">
        <v>89</v>
      </c>
      <c r="B3" t="s">
        <v>99</v>
      </c>
    </row>
    <row r="5" spans="1:6" x14ac:dyDescent="0.25">
      <c r="A5" s="3" t="s">
        <v>77</v>
      </c>
      <c r="B5" s="3" t="s">
        <v>9</v>
      </c>
      <c r="C5" s="3" t="s">
        <v>14</v>
      </c>
      <c r="D5" s="3" t="s">
        <v>82</v>
      </c>
      <c r="E5" s="3" t="s">
        <v>12</v>
      </c>
      <c r="F5" s="3" t="s">
        <v>79</v>
      </c>
    </row>
    <row r="6" spans="1:6" x14ac:dyDescent="0.25">
      <c r="A6" s="7"/>
      <c r="B6" s="7"/>
      <c r="C6" s="7"/>
      <c r="D6" s="7"/>
      <c r="E6" s="7"/>
      <c r="F6" s="7"/>
    </row>
    <row r="7" spans="1:6" x14ac:dyDescent="0.25">
      <c r="A7" s="7"/>
      <c r="B7" s="7"/>
      <c r="C7" s="7"/>
      <c r="D7" s="7"/>
      <c r="E7" s="7"/>
      <c r="F7" s="7"/>
    </row>
    <row r="8" spans="1:6" x14ac:dyDescent="0.25">
      <c r="A8" s="7"/>
      <c r="B8" s="7"/>
      <c r="C8" s="7"/>
      <c r="D8" s="7"/>
      <c r="E8" s="7"/>
      <c r="F8" s="7"/>
    </row>
    <row r="9" spans="1:6" x14ac:dyDescent="0.25">
      <c r="A9" s="7"/>
      <c r="B9" s="7"/>
      <c r="C9" s="7"/>
      <c r="D9" s="7"/>
      <c r="E9" s="7"/>
      <c r="F9" s="7"/>
    </row>
    <row r="10" spans="1:6" x14ac:dyDescent="0.25">
      <c r="A10" s="7"/>
      <c r="B10" s="7"/>
      <c r="C10" s="7"/>
      <c r="D10" s="7"/>
      <c r="E10" s="7"/>
      <c r="F10" s="7"/>
    </row>
    <row r="11" spans="1:6" x14ac:dyDescent="0.25">
      <c r="A11" s="7"/>
      <c r="B11" s="7"/>
      <c r="C11" s="7"/>
      <c r="D11" s="7"/>
      <c r="E11" s="7"/>
      <c r="F11" s="7"/>
    </row>
    <row r="12" spans="1:6" x14ac:dyDescent="0.25">
      <c r="A12" s="7"/>
      <c r="B12" s="7"/>
      <c r="C12" s="7"/>
      <c r="D12" s="7"/>
      <c r="E12" s="7"/>
      <c r="F12" s="7"/>
    </row>
    <row r="13" spans="1:6" x14ac:dyDescent="0.25">
      <c r="A13" s="7"/>
      <c r="B13" s="7"/>
      <c r="C13" s="7"/>
      <c r="D13" s="7"/>
      <c r="E13" s="7"/>
      <c r="F13" s="7"/>
    </row>
    <row r="14" spans="1:6" x14ac:dyDescent="0.25">
      <c r="A14" s="7"/>
      <c r="B14" s="7"/>
      <c r="C14" s="7"/>
      <c r="D14" s="7"/>
      <c r="E14" s="7"/>
      <c r="F14" s="7"/>
    </row>
    <row r="15" spans="1:6" x14ac:dyDescent="0.25">
      <c r="A15" s="7"/>
      <c r="B15" s="7"/>
      <c r="C15" s="7"/>
      <c r="D15" s="7"/>
      <c r="E15" s="7"/>
      <c r="F15" s="7"/>
    </row>
  </sheetData>
  <mergeCells count="1">
    <mergeCell ref="A1:F1"/>
  </mergeCell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errorTitle="Valor no válido" error="Selecciona un valor de la lista." xr:uid="{00000000-0002-0000-0600-000000000000}">
          <x14:formula1>
            <xm:f>Listas!$A$2:$A$7</xm:f>
          </x14:formula1>
          <xm:sqref>A6:A15</xm:sqref>
        </x14:dataValidation>
        <x14:dataValidation type="list" allowBlank="1" errorTitle="Valor no válido" error="Selecciona un valor de la lista." xr:uid="{00000000-0002-0000-0600-000001000000}">
          <x14:formula1>
            <xm:f>Listas!$B$2:$B$7</xm:f>
          </x14:formula1>
          <xm:sqref>B6:B15</xm:sqref>
        </x14:dataValidation>
        <x14:dataValidation type="list" allowBlank="1" errorTitle="Valor no válido" error="Selecciona un valor de la lista." xr:uid="{00000000-0002-0000-0600-000002000000}">
          <x14:formula1>
            <xm:f>Listas!$C$2:$C$5</xm:f>
          </x14:formula1>
          <xm:sqref>C6:C15</xm:sqref>
        </x14:dataValidation>
        <x14:dataValidation type="list" allowBlank="1" errorTitle="Valor no válido" error="Selecciona un valor de la lista." xr:uid="{00000000-0002-0000-0600-000003000000}">
          <x14:formula1>
            <xm:f>Listas!$E$2:$E$5</xm:f>
          </x14:formula1>
          <xm:sqref>D6:D15</xm:sqref>
        </x14:dataValidation>
        <x14:dataValidation type="list" allowBlank="1" errorTitle="Valor no válido" error="Selecciona un valor de la lista." xr:uid="{00000000-0002-0000-0600-000004000000}">
          <x14:formula1>
            <xm:f>Listas!$D$2:$D$4</xm:f>
          </x14:formula1>
          <xm:sqref>E6:E15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5"/>
  <sheetViews>
    <sheetView showGridLines="0" workbookViewId="0"/>
  </sheetViews>
  <sheetFormatPr baseColWidth="10" defaultColWidth="9.140625" defaultRowHeight="15" x14ac:dyDescent="0.25"/>
  <sheetData>
    <row r="1" spans="1:4" ht="18.75" x14ac:dyDescent="0.3">
      <c r="A1" s="13" t="s">
        <v>100</v>
      </c>
      <c r="B1" s="12"/>
      <c r="C1" s="12"/>
      <c r="D1" s="12"/>
    </row>
    <row r="3" spans="1:4" x14ac:dyDescent="0.25">
      <c r="A3" t="s">
        <v>89</v>
      </c>
      <c r="B3" t="s">
        <v>101</v>
      </c>
    </row>
    <row r="5" spans="1:4" x14ac:dyDescent="0.25">
      <c r="A5" s="3" t="s">
        <v>5</v>
      </c>
      <c r="B5" s="3" t="s">
        <v>78</v>
      </c>
    </row>
    <row r="6" spans="1:4" x14ac:dyDescent="0.25">
      <c r="A6">
        <v>1</v>
      </c>
      <c r="B6" s="7"/>
    </row>
    <row r="7" spans="1:4" x14ac:dyDescent="0.25">
      <c r="A7">
        <v>2</v>
      </c>
      <c r="B7" s="7"/>
    </row>
    <row r="8" spans="1:4" x14ac:dyDescent="0.25">
      <c r="A8">
        <v>3</v>
      </c>
      <c r="B8" s="7"/>
    </row>
    <row r="9" spans="1:4" x14ac:dyDescent="0.25">
      <c r="A9">
        <v>4</v>
      </c>
      <c r="B9" s="7"/>
    </row>
    <row r="10" spans="1:4" x14ac:dyDescent="0.25">
      <c r="A10">
        <v>5</v>
      </c>
      <c r="B10" s="7"/>
    </row>
    <row r="11" spans="1:4" x14ac:dyDescent="0.25">
      <c r="A11">
        <v>6</v>
      </c>
      <c r="B11" s="7"/>
    </row>
    <row r="12" spans="1:4" x14ac:dyDescent="0.25">
      <c r="A12">
        <v>7</v>
      </c>
      <c r="B12" s="7"/>
    </row>
    <row r="13" spans="1:4" x14ac:dyDescent="0.25">
      <c r="A13">
        <v>8</v>
      </c>
      <c r="B13" s="7"/>
    </row>
    <row r="14" spans="1:4" x14ac:dyDescent="0.25">
      <c r="A14">
        <v>9</v>
      </c>
      <c r="B14" s="7"/>
    </row>
    <row r="15" spans="1:4" x14ac:dyDescent="0.25">
      <c r="A15">
        <v>10</v>
      </c>
      <c r="B15" s="7"/>
    </row>
  </sheetData>
  <mergeCells count="1">
    <mergeCell ref="A1:D1"/>
  </mergeCell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errorTitle="Valor no válido" error="Selecciona un valor de la lista." xr:uid="{00000000-0002-0000-0700-000000000000}">
          <x14:formula1>
            <xm:f>Listas!$K$2:$K$19</xm:f>
          </x14:formula1>
          <xm:sqref>B6:B15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8"/>
  <sheetViews>
    <sheetView showGridLines="0" workbookViewId="0"/>
  </sheetViews>
  <sheetFormatPr baseColWidth="10" defaultColWidth="9.140625" defaultRowHeight="15" x14ac:dyDescent="0.25"/>
  <sheetData>
    <row r="1" spans="1:4" ht="18.75" x14ac:dyDescent="0.3">
      <c r="A1" s="13" t="s">
        <v>102</v>
      </c>
      <c r="B1" s="12"/>
      <c r="C1" s="12"/>
      <c r="D1" s="12"/>
    </row>
    <row r="3" spans="1:4" x14ac:dyDescent="0.25">
      <c r="A3" t="s">
        <v>89</v>
      </c>
      <c r="B3" t="s">
        <v>103</v>
      </c>
    </row>
    <row r="5" spans="1:4" x14ac:dyDescent="0.25">
      <c r="A5" t="s">
        <v>14</v>
      </c>
      <c r="B5" t="s">
        <v>78</v>
      </c>
    </row>
    <row r="6" spans="1:4" x14ac:dyDescent="0.25">
      <c r="A6" s="7"/>
      <c r="B6" s="7"/>
    </row>
    <row r="8" spans="1:4" x14ac:dyDescent="0.25">
      <c r="A8" t="s">
        <v>104</v>
      </c>
      <c r="B8" t="s">
        <v>105</v>
      </c>
    </row>
  </sheetData>
  <mergeCells count="1">
    <mergeCell ref="A1:D1"/>
  </mergeCells>
  <dataValidations count="1">
    <dataValidation type="list" allowBlank="1" errorTitle="Valor no válido" error="Selecciona un valor de la lista." sqref="B6" xr:uid="{00000000-0002-0000-0800-000001000000}">
      <formula1>INDIRECT("Lista_"&amp;$A$6)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errorTitle="Valor no válido" error="Selecciona un valor de la lista." xr:uid="{00000000-0002-0000-0800-000000000000}">
          <x14:formula1>
            <xm:f>Listas!$C$2:$C$5</xm:f>
          </x14:formula1>
          <xm:sqref>A6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8"/>
  <sheetViews>
    <sheetView showGridLines="0" workbookViewId="0"/>
  </sheetViews>
  <sheetFormatPr baseColWidth="10" defaultColWidth="9.140625" defaultRowHeight="15" x14ac:dyDescent="0.25"/>
  <sheetData>
    <row r="1" spans="1:4" ht="18.75" x14ac:dyDescent="0.3">
      <c r="A1" s="13" t="s">
        <v>106</v>
      </c>
      <c r="B1" s="12"/>
      <c r="C1" s="12"/>
      <c r="D1" s="12"/>
    </row>
    <row r="3" spans="1:4" x14ac:dyDescent="0.25">
      <c r="A3" t="s">
        <v>89</v>
      </c>
      <c r="B3" t="s">
        <v>107</v>
      </c>
    </row>
    <row r="5" spans="1:4" x14ac:dyDescent="0.25">
      <c r="A5" s="8" t="s">
        <v>78</v>
      </c>
      <c r="B5" s="7"/>
    </row>
    <row r="6" spans="1:4" x14ac:dyDescent="0.25">
      <c r="A6" s="8" t="s">
        <v>80</v>
      </c>
      <c r="B6" s="9" t="e">
        <f ca="1">_xludf.XLOOKUP(B5,Base_Ventas!$E$2:$E$501,Base_Ventas!$H$2:$H$501,"")</f>
        <v>#NAME?</v>
      </c>
    </row>
    <row r="7" spans="1:4" x14ac:dyDescent="0.25">
      <c r="A7" s="8" t="s">
        <v>14</v>
      </c>
      <c r="B7" s="10" t="e">
        <f ca="1">_xludf.XLOOKUP(B5,Base_Ventas!$E$2:$E$501,Base_Ventas!$F$2:$F$501,"")</f>
        <v>#NAME?</v>
      </c>
    </row>
    <row r="8" spans="1:4" x14ac:dyDescent="0.25">
      <c r="A8" s="8" t="s">
        <v>83</v>
      </c>
      <c r="B8" s="10" t="e">
        <f ca="1">_xludf.XLOOKUP(B5,Base_Ventas!$E$2:$E$501,Base_Ventas!$L$2:$L$501,"")</f>
        <v>#NAME?</v>
      </c>
    </row>
  </sheetData>
  <mergeCells count="1">
    <mergeCell ref="A1:D1"/>
  </mergeCell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errorTitle="Valor no válido" error="Selecciona un valor de la lista." xr:uid="{00000000-0002-0000-0900-000000000000}">
          <x14:formula1>
            <xm:f>Listas!$K$2:$K$19</xm:f>
          </x14:formula1>
          <xm:sqref>B5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12"/>
  <sheetViews>
    <sheetView showGridLines="0" workbookViewId="0"/>
  </sheetViews>
  <sheetFormatPr baseColWidth="10" defaultColWidth="9.140625" defaultRowHeight="15" x14ac:dyDescent="0.25"/>
  <sheetData>
    <row r="1" spans="1:4" ht="18.75" x14ac:dyDescent="0.3">
      <c r="A1" s="13" t="s">
        <v>108</v>
      </c>
      <c r="B1" s="12"/>
      <c r="C1" s="12"/>
      <c r="D1" s="12"/>
    </row>
    <row r="3" spans="1:4" x14ac:dyDescent="0.25">
      <c r="A3" t="s">
        <v>89</v>
      </c>
      <c r="B3" t="s">
        <v>109</v>
      </c>
    </row>
    <row r="5" spans="1:4" x14ac:dyDescent="0.25">
      <c r="A5" s="8" t="s">
        <v>9</v>
      </c>
      <c r="B5" s="7"/>
    </row>
    <row r="6" spans="1:4" x14ac:dyDescent="0.25">
      <c r="A6" s="8" t="s">
        <v>14</v>
      </c>
      <c r="B6" s="7"/>
    </row>
    <row r="7" spans="1:4" x14ac:dyDescent="0.25">
      <c r="A7" s="8" t="s">
        <v>77</v>
      </c>
      <c r="B7" s="7"/>
    </row>
    <row r="10" spans="1:4" x14ac:dyDescent="0.25">
      <c r="A10" s="8" t="s">
        <v>110</v>
      </c>
      <c r="B10" s="10">
        <f>COUNTIFS(Base_Ventas!$D$2:$D$501,B5,Base_Ventas!$F$2:$F$501,B6,Base_Ventas!$C$2:$C$501,B7)</f>
        <v>0</v>
      </c>
    </row>
    <row r="11" spans="1:4" x14ac:dyDescent="0.25">
      <c r="A11" s="8" t="s">
        <v>111</v>
      </c>
      <c r="B11" s="9">
        <f>SUMIFS(Base_Ventas!$I$2:$I$501,Base_Ventas!$D$2:$D$501,B5,Base_Ventas!$F$2:$F$501,B6,Base_Ventas!$C$2:$C$501,B7)</f>
        <v>0</v>
      </c>
    </row>
    <row r="12" spans="1:4" x14ac:dyDescent="0.25">
      <c r="A12" s="8" t="s">
        <v>112</v>
      </c>
      <c r="B12" s="9">
        <f>IFERROR(AVERAGEIFS(Base_Ventas!$I$2:$I$501,Base_Ventas!$D$2:$D$501,B5,Base_Ventas!$F$2:$F$501,B6,Base_Ventas!$C$2:$C$501,B7),0)</f>
        <v>0</v>
      </c>
    </row>
  </sheetData>
  <mergeCells count="1">
    <mergeCell ref="A1:D1"/>
  </mergeCell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errorTitle="Valor no válido" error="Selecciona un valor de la lista." xr:uid="{00000000-0002-0000-0A00-000000000000}">
          <x14:formula1>
            <xm:f>Listas!$B$2:$B$7</xm:f>
          </x14:formula1>
          <xm:sqref>B5</xm:sqref>
        </x14:dataValidation>
        <x14:dataValidation type="list" allowBlank="1" errorTitle="Valor no válido" error="Selecciona un valor de la lista." xr:uid="{00000000-0002-0000-0A00-000001000000}">
          <x14:formula1>
            <xm:f>Listas!$C$2:$C$5</xm:f>
          </x14:formula1>
          <xm:sqref>B6</xm:sqref>
        </x14:dataValidation>
        <x14:dataValidation type="list" allowBlank="1" errorTitle="Valor no válido" error="Selecciona un valor de la lista." xr:uid="{00000000-0002-0000-0A00-000002000000}">
          <x14:formula1>
            <xm:f>Listas!$A$2:$A$7</xm:f>
          </x14:formula1>
          <xm:sqref>B7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9"/>
  <sheetViews>
    <sheetView showGridLines="0" workbookViewId="0"/>
  </sheetViews>
  <sheetFormatPr baseColWidth="10" defaultColWidth="9.140625" defaultRowHeight="15" x14ac:dyDescent="0.25"/>
  <cols>
    <col min="1" max="1" width="15" customWidth="1"/>
    <col min="2" max="2" width="90" customWidth="1"/>
  </cols>
  <sheetData>
    <row r="1" spans="1:2" x14ac:dyDescent="0.25">
      <c r="A1" s="3" t="s">
        <v>6</v>
      </c>
      <c r="B1" s="3" t="s">
        <v>113</v>
      </c>
    </row>
    <row r="2" spans="1:2" x14ac:dyDescent="0.25">
      <c r="A2" t="s">
        <v>114</v>
      </c>
      <c r="B2" t="s">
        <v>115</v>
      </c>
    </row>
    <row r="3" spans="1:2" x14ac:dyDescent="0.25">
      <c r="A3" t="s">
        <v>116</v>
      </c>
      <c r="B3" t="s">
        <v>117</v>
      </c>
    </row>
    <row r="4" spans="1:2" x14ac:dyDescent="0.25">
      <c r="A4" t="s">
        <v>118</v>
      </c>
      <c r="B4" t="s">
        <v>119</v>
      </c>
    </row>
    <row r="5" spans="1:2" x14ac:dyDescent="0.25">
      <c r="A5" t="s">
        <v>120</v>
      </c>
      <c r="B5" t="s">
        <v>121</v>
      </c>
    </row>
    <row r="6" spans="1:2" x14ac:dyDescent="0.25">
      <c r="A6" t="s">
        <v>122</v>
      </c>
      <c r="B6" t="s">
        <v>123</v>
      </c>
    </row>
    <row r="7" spans="1:2" x14ac:dyDescent="0.25">
      <c r="A7" t="s">
        <v>124</v>
      </c>
      <c r="B7" t="s">
        <v>125</v>
      </c>
    </row>
    <row r="8" spans="1:2" x14ac:dyDescent="0.25">
      <c r="A8" t="s">
        <v>126</v>
      </c>
      <c r="B8" t="s">
        <v>127</v>
      </c>
    </row>
    <row r="9" spans="1:2" x14ac:dyDescent="0.25">
      <c r="A9" t="s">
        <v>128</v>
      </c>
      <c r="B9" t="s">
        <v>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4</vt:i4>
      </vt:variant>
    </vt:vector>
  </HeadingPairs>
  <TitlesOfParts>
    <vt:vector size="16" baseType="lpstr">
      <vt:lpstr>Instrucciones</vt:lpstr>
      <vt:lpstr>Listas</vt:lpstr>
      <vt:lpstr>Base_Ventas</vt:lpstr>
      <vt:lpstr>Ejercicio_1</vt:lpstr>
      <vt:lpstr>Ejercicio_2</vt:lpstr>
      <vt:lpstr>Ejercicio_3</vt:lpstr>
      <vt:lpstr>Ejercicio_4</vt:lpstr>
      <vt:lpstr>Ejercicio_5</vt:lpstr>
      <vt:lpstr>Ejercicio_6</vt:lpstr>
      <vt:lpstr>Ejercicio_7</vt:lpstr>
      <vt:lpstr>Ejercicio_8</vt:lpstr>
      <vt:lpstr>Soluciones</vt:lpstr>
      <vt:lpstr>Lista_Audio</vt:lpstr>
      <vt:lpstr>Lista_Hogar</vt:lpstr>
      <vt:lpstr>Lista_Oficina</vt:lpstr>
      <vt:lpstr>Lista_Tecnologia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junior barrera</cp:lastModifiedBy>
  <dcterms:created xsi:type="dcterms:W3CDTF">2026-09-05T21:20:12Z</dcterms:created>
  <dcterms:modified xsi:type="dcterms:W3CDTF">2026-09-08T04:33:13Z</dcterms:modified>
</cp:coreProperties>
</file>