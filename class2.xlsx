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MAO\Downloads\"/>
    </mc:Choice>
  </mc:AlternateContent>
  <xr:revisionPtr revIDLastSave="0" documentId="8_{AF4F8A50-450E-4840-941F-638292AC4BB5}" xr6:coauthVersionLast="47" xr6:coauthVersionMax="47" xr10:uidLastSave="{00000000-0000-0000-0000-000000000000}"/>
  <bookViews>
    <workbookView xWindow="690" yWindow="1410" windowWidth="20070" windowHeight="12285" xr2:uid="{3EEA6B8E-068B-4DA7-ABB0-8F224A9D2A61}"/>
  </bookViews>
  <sheets>
    <sheet name="Tabla 1" sheetId="2" r:id="rId1"/>
    <sheet name="Tabla 2" sheetId="4" r:id="rId2"/>
  </sheets>
  <definedNames>
    <definedName name="DatosExternos_1" localSheetId="0" hidden="1">'Tabla 1'!$A$1:$G$13</definedName>
    <definedName name="DatosExternos_1" localSheetId="1" hidden="1">'Tabla 2'!$A$1:$F$37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4" l="1"/>
  <c r="J2" i="4"/>
  <c r="K2" i="4"/>
  <c r="N2" i="2"/>
  <c r="P7" i="2"/>
  <c r="P3" i="2"/>
  <c r="P4" i="2"/>
  <c r="P5" i="2"/>
  <c r="P6" i="2"/>
  <c r="P8" i="2"/>
  <c r="P9" i="2"/>
  <c r="P10" i="2"/>
  <c r="P11" i="2"/>
  <c r="P12" i="2"/>
  <c r="P2" i="2"/>
  <c r="O3" i="2" a="1"/>
  <c r="O3" i="2" s="1"/>
  <c r="O4" i="2" a="1"/>
  <c r="O4" i="2"/>
  <c r="O5" i="2" a="1"/>
  <c r="O5" i="2"/>
  <c r="O6" i="2" a="1"/>
  <c r="O6" i="2"/>
  <c r="O7" i="2" a="1"/>
  <c r="O7" i="2"/>
  <c r="O8" i="2" a="1"/>
  <c r="O8" i="2"/>
  <c r="O9" i="2" a="1"/>
  <c r="O9" i="2"/>
  <c r="O10" i="2" a="1"/>
  <c r="O10" i="2"/>
  <c r="O11" i="2" a="1"/>
  <c r="O11" i="2"/>
  <c r="O12" i="2" a="1"/>
  <c r="O12" i="2"/>
  <c r="O13" i="2" a="1"/>
  <c r="O13" i="2"/>
  <c r="O2" i="2" a="1"/>
  <c r="O2" i="2" s="1"/>
  <c r="K2" i="2"/>
  <c r="N3" i="2"/>
  <c r="N4" i="2"/>
  <c r="N5" i="2"/>
  <c r="N6" i="2"/>
  <c r="N7" i="2"/>
  <c r="N8" i="2"/>
  <c r="N9" i="2"/>
  <c r="N10" i="2"/>
  <c r="N11" i="2"/>
  <c r="N12" i="2"/>
  <c r="N13" i="2"/>
  <c r="M6" i="2"/>
  <c r="M7" i="2"/>
  <c r="M3" i="2"/>
  <c r="M4" i="2"/>
  <c r="M5" i="2"/>
  <c r="M8" i="2"/>
  <c r="M9" i="2"/>
  <c r="M10" i="2"/>
  <c r="M11" i="2"/>
  <c r="M12" i="2"/>
  <c r="M13" i="2"/>
  <c r="M2" i="2"/>
  <c r="L3" i="2"/>
  <c r="L4" i="2"/>
  <c r="L5" i="2"/>
  <c r="L6" i="2"/>
  <c r="L7" i="2"/>
  <c r="L8" i="2"/>
  <c r="L9" i="2"/>
  <c r="L10" i="2"/>
  <c r="L11" i="2"/>
  <c r="L12" i="2"/>
  <c r="L13" i="2"/>
  <c r="L2" i="2"/>
  <c r="K3" i="2"/>
  <c r="K4" i="2"/>
  <c r="K5" i="2"/>
  <c r="K6" i="2"/>
  <c r="K7" i="2"/>
  <c r="K8" i="2"/>
  <c r="K9" i="2"/>
  <c r="K10" i="2"/>
  <c r="K11" i="2"/>
  <c r="K12" i="2"/>
  <c r="K13" i="2"/>
  <c r="J12" i="2"/>
  <c r="J13" i="2"/>
  <c r="J3" i="2"/>
  <c r="J4" i="2"/>
  <c r="J5" i="2"/>
  <c r="J6" i="2"/>
  <c r="J7" i="2"/>
  <c r="J8" i="2"/>
  <c r="J9" i="2"/>
  <c r="J10" i="2"/>
  <c r="J11" i="2"/>
  <c r="J2" i="2"/>
  <c r="I13" i="2"/>
  <c r="I11" i="2"/>
  <c r="I12" i="2"/>
  <c r="I3" i="2"/>
  <c r="I4" i="2"/>
  <c r="I5" i="2"/>
  <c r="I6" i="2"/>
  <c r="I7" i="2"/>
  <c r="I8" i="2"/>
  <c r="I9" i="2"/>
  <c r="I10" i="2"/>
  <c r="I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18199F-5A25-4C09-B004-CE7F29491FA8}" keepAlive="1" name="Consulta - Tabla 1" description="Conexión a la consulta 'Tabla 1' en el libro." type="5" refreshedVersion="8" background="1" saveData="1">
    <dbPr connection="Provider=Microsoft.Mashup.OleDb.1;Data Source=$Workbook$;Location=&quot;Tabla 1&quot;;Extended Properties=&quot;&quot;" command="SELECT * FROM [Tabla 1]"/>
  </connection>
  <connection id="2" xr16:uid="{0CDA32E5-F164-459B-9100-87AC924E0794}" keepAlive="1" name="Consulta - Tabla 1 (2)" description="Conexión a la consulta 'Tabla 1 (2)' en el libro." type="5" refreshedVersion="8" background="1" saveData="1">
    <dbPr connection="Provider=Microsoft.Mashup.OleDb.1;Data Source=$Workbook$;Location=&quot;Tabla 1 (2)&quot;;Extended Properties=&quot;&quot;" command="SELECT * FROM [Tabla 1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<sst xmlns="http://schemas.openxmlformats.org/spreadsheetml/2006/main" count="156" uniqueCount="131">
  <si>
    <t>2026</t>
  </si>
  <si>
    <t>UTM (1)</t>
  </si>
  <si>
    <t>UTA (2)</t>
  </si>
  <si>
    <t>Indice de Precios al Consumidor (IPC)</t>
  </si>
  <si>
    <t>Variación Porcentual</t>
  </si>
  <si>
    <t>Variación Porcentual_1</t>
  </si>
  <si>
    <t>Variación Porcentual_2</t>
  </si>
  <si>
    <t>Enero</t>
  </si>
  <si>
    <t>109,71</t>
  </si>
  <si>
    <t>0,4</t>
  </si>
  <si>
    <t>2,8</t>
  </si>
  <si>
    <t>Febrero</t>
  </si>
  <si>
    <t>109,70</t>
  </si>
  <si>
    <t>0,0</t>
  </si>
  <si>
    <t>2,4</t>
  </si>
  <si>
    <t>Marzo</t>
  </si>
  <si>
    <t>110,75</t>
  </si>
  <si>
    <t>1,0</t>
  </si>
  <si>
    <t>1,4</t>
  </si>
  <si>
    <t>Abril</t>
  </si>
  <si>
    <t>112,18</t>
  </si>
  <si>
    <t>1,3</t>
  </si>
  <si>
    <t>2,7</t>
  </si>
  <si>
    <t>4,0</t>
  </si>
  <si>
    <t>Mayo</t>
  </si>
  <si>
    <t>112,37</t>
  </si>
  <si>
    <t>0,2</t>
  </si>
  <si>
    <t>3,9</t>
  </si>
  <si>
    <t>Junio</t>
  </si>
  <si>
    <t>112,35</t>
  </si>
  <si>
    <t>4,3</t>
  </si>
  <si>
    <t>Julio</t>
  </si>
  <si>
    <t>112,45</t>
  </si>
  <si>
    <t>0,1</t>
  </si>
  <si>
    <t>2,9</t>
  </si>
  <si>
    <t>3,5</t>
  </si>
  <si>
    <t>Agosto</t>
  </si>
  <si>
    <t/>
  </si>
  <si>
    <t>Septiembre</t>
  </si>
  <si>
    <t>Octubre</t>
  </si>
  <si>
    <t>Noviembre</t>
  </si>
  <si>
    <t>Diciembre</t>
  </si>
  <si>
    <t>Variación UTM</t>
  </si>
  <si>
    <t>Nivel UTM</t>
  </si>
  <si>
    <t>Clasificación UTM</t>
  </si>
  <si>
    <t>Condición económica</t>
  </si>
  <si>
    <t>Validación UTA</t>
  </si>
  <si>
    <t>Estado UTM</t>
  </si>
  <si>
    <t>Categoría UTM</t>
  </si>
  <si>
    <t>SITUACIÓN DE ATENCIÓN</t>
  </si>
  <si>
    <t>Año</t>
  </si>
  <si>
    <t>Precio Cierre</t>
  </si>
  <si>
    <t>Cambio %</t>
  </si>
  <si>
    <t>Promedio</t>
  </si>
  <si>
    <t>Mínimo</t>
  </si>
  <si>
    <t>Máximo</t>
  </si>
  <si>
    <t>+1.62%</t>
  </si>
  <si>
    <t>949.96</t>
  </si>
  <si>
    <t>-9.38%</t>
  </si>
  <si>
    <t>1,019.79</t>
  </si>
  <si>
    <t>+12.81%</t>
  </si>
  <si>
    <t>1,000.14</t>
  </si>
  <si>
    <t>+3.86%</t>
  </si>
  <si>
    <t>953.40</t>
  </si>
  <si>
    <t>-0.33%</t>
  </si>
  <si>
    <t>1,061.63</t>
  </si>
  <si>
    <t>+19.92%</t>
  </si>
  <si>
    <t>876.75</t>
  </si>
  <si>
    <t>-5.56%</t>
  </si>
  <si>
    <t>878.96</t>
  </si>
  <si>
    <t>+8.29%</t>
  </si>
  <si>
    <t>838.69</t>
  </si>
  <si>
    <t>+12.77%</t>
  </si>
  <si>
    <t>701.19</t>
  </si>
  <si>
    <t>-8.12%</t>
  </si>
  <si>
    <t>682.20</t>
  </si>
  <si>
    <t>-5.48%</t>
  </si>
  <si>
    <t>733.00</t>
  </si>
  <si>
    <t>+16.76%</t>
  </si>
  <si>
    <t>718.05</t>
  </si>
  <si>
    <t>+15.50%</t>
  </si>
  <si>
    <t>623.30</t>
  </si>
  <si>
    <t>+9.76%</t>
  </si>
  <si>
    <t>535.60</t>
  </si>
  <si>
    <t>-7.85%</t>
  </si>
  <si>
    <t>522.95</t>
  </si>
  <si>
    <t>+11.00%</t>
  </si>
  <si>
    <t>535.80</t>
  </si>
  <si>
    <t>-7.77%</t>
  </si>
  <si>
    <t>553.45</t>
  </si>
  <si>
    <t>-20.46%</t>
  </si>
  <si>
    <t>651.50</t>
  </si>
  <si>
    <t>+28.13%</t>
  </si>
  <si>
    <t>683.75</t>
  </si>
  <si>
    <t>-6.46%</t>
  </si>
  <si>
    <t>549.70</t>
  </si>
  <si>
    <t>+3.51%</t>
  </si>
  <si>
    <t>551.55</t>
  </si>
  <si>
    <t>-7.46%</t>
  </si>
  <si>
    <t>594.85</t>
  </si>
  <si>
    <t>-6.30%</t>
  </si>
  <si>
    <t>652.50</t>
  </si>
  <si>
    <t>-17.65%</t>
  </si>
  <si>
    <t>759.55</t>
  </si>
  <si>
    <t>+8.94%</t>
  </si>
  <si>
    <t>761.95</t>
  </si>
  <si>
    <t>+15.23%</t>
  </si>
  <si>
    <t>719.45</t>
  </si>
  <si>
    <t>+8.31%</t>
  </si>
  <si>
    <t>581.05</t>
  </si>
  <si>
    <t>+11.94%</t>
  </si>
  <si>
    <t>551.85</t>
  </si>
  <si>
    <t>+7.92%</t>
  </si>
  <si>
    <t>476.25</t>
  </si>
  <si>
    <t>+3.33%</t>
  </si>
  <si>
    <t>442.50</t>
  </si>
  <si>
    <t>+4.46%</t>
  </si>
  <si>
    <t>425.20</t>
  </si>
  <si>
    <t>+1.30%</t>
  </si>
  <si>
    <t>419.35</t>
  </si>
  <si>
    <t>-6.41%</t>
  </si>
  <si>
    <t>434.60</t>
  </si>
  <si>
    <t>+12.32%</t>
  </si>
  <si>
    <t>432.55</t>
  </si>
  <si>
    <t>+0.66%</t>
  </si>
  <si>
    <t>389.00</t>
  </si>
  <si>
    <t>-</t>
  </si>
  <si>
    <t>381.00</t>
  </si>
  <si>
    <t>Máximo 2025</t>
  </si>
  <si>
    <t>Promedio 2025</t>
  </si>
  <si>
    <t>"Resultado BUSCARH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</si>
</sst>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NumberFormat="1"/>
    <xf numFmtId="0" fontId="2" fillId="0" borderId="0" xfId="0" applyFont="1"/>
    <xf numFmtId="9" fontId="0" fillId="0" borderId="0" xfId="0" applyNumberFormat="1"/>
    <xf numFmtId="9" fontId="0" fillId="0" borderId="0" xfId="1" applyNumberFormat="1" applyFont="1"/>
  </cellXfs>
  <cellStyles count="2">
    <cellStyle name="Normal" xfId="0" builtinId="0"/>
    <cellStyle name="Porcentaje" xfId="1" builtinId="5"/>
  </cellStyles>
  <dxfs count="7">
    <dxf>
      <numFmt numFmtId="0" formatCode="General"/>
    </dxf>
    <dxf>
      <numFmt numFmtId="0" formatCode="General"/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61A31EB-86C6-4420-8784-95CA4CFC8A2C}" autoFormatId="16" applyNumberFormats="0" applyBorderFormats="0" applyFontFormats="0" applyPatternFormats="0" applyAlignmentFormats="0" applyWidthHeightFormats="0">
  <queryTableRefresh nextId="8">
    <queryTableFields count="7">
      <queryTableField id="1" name="2026" tableColumnId="1"/>
      <queryTableField id="2" name="UTM (1)" tableColumnId="2"/>
      <queryTableField id="3" name="UTA (2)" tableColumnId="3"/>
      <queryTableField id="4" name="Indice de Precios al Consumidor (IPC)" tableColumnId="4"/>
      <queryTableField id="5" name="Variación Porcentual" tableColumnId="5"/>
      <queryTableField id="6" name="Variación Porcentual_1" tableColumnId="6"/>
      <queryTableField id="7" name="Variación Porcentual_2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E64CEE4A-B07A-4DE1-905C-0D4D2958F9B7}" autoFormatId="16" applyNumberFormats="0" applyBorderFormats="0" applyFontFormats="0" applyPatternFormats="0" applyAlignmentFormats="0" applyWidthHeightFormats="0">
  <queryTableRefresh nextId="7">
    <queryTableFields count="6">
      <queryTableField id="1" name="Año" tableColumnId="1"/>
      <queryTableField id="2" name="Precio Cierre" tableColumnId="2"/>
      <queryTableField id="3" name="Cambio %" tableColumnId="3"/>
      <queryTableField id="4" name="Promedio" tableColumnId="4"/>
      <queryTableField id="5" name="Mínimo" tableColumnId="5"/>
      <queryTableField id="6" name="Máximo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608C5C-88A9-48E8-BAB9-76CA8E93B6B2}" name="Tabla_1" displayName="Tabla_1" ref="A1:G13" tableType="queryTable" totalsRowShown="0">
  <autoFilter ref="A1:G13" xr:uid="{4B608C5C-88A9-48E8-BAB9-76CA8E93B6B2}"/>
  <tableColumns count="7">
    <tableColumn id="1" xr3:uid="{8F0811E2-CCF9-4397-9E19-E4FA104400C6}" uniqueName="1" name="2026" queryTableFieldId="1" dataDxfId="6"/>
    <tableColumn id="2" xr3:uid="{A381E8CE-0FC8-4067-9D63-52A4A39C604E}" uniqueName="2" name="UTM (1)" queryTableFieldId="2"/>
    <tableColumn id="3" xr3:uid="{3EA36687-E695-476D-B7A3-3EAE5EFA63AE}" uniqueName="3" name="UTA (2)" queryTableFieldId="3"/>
    <tableColumn id="4" xr3:uid="{A78FA60A-19C8-4FA3-A61D-D2125131BA36}" uniqueName="4" name="Indice de Precios al Consumidor (IPC)" queryTableFieldId="4" dataDxfId="4"/>
    <tableColumn id="5" xr3:uid="{8B773B15-0CC2-4B26-AA0A-F8710A07086C}" uniqueName="5" name="Variación Porcentual" queryTableFieldId="5" dataDxfId="2"/>
    <tableColumn id="6" xr3:uid="{65A2C533-8BD7-4EF9-A12F-708AAD515732}" uniqueName="6" name="Variación Porcentual_1" queryTableFieldId="6" dataDxfId="3"/>
    <tableColumn id="7" xr3:uid="{F8952818-91D2-47B9-8A74-BB48A9179C77}" uniqueName="7" name="Variación Porcentual_2" queryTableFieldId="7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37DE46-70DA-4FBB-A0AC-5ACB7D271566}" name="Tabla_1__2" displayName="Tabla_1__2" ref="A1:F37" tableType="queryTable" totalsRowShown="0">
  <autoFilter ref="A1:F37" xr:uid="{9137DE46-70DA-4FBB-A0AC-5ACB7D271566}"/>
  <tableColumns count="6">
    <tableColumn id="1" xr3:uid="{A42D34E1-A32F-4A4F-A9B6-3E5F8D8B7C0B}" uniqueName="1" name="Año" queryTableFieldId="1"/>
    <tableColumn id="2" xr3:uid="{78B0BBF0-539D-4AD5-94E4-BB98C068D416}" uniqueName="2" name="Precio Cierre" queryTableFieldId="2"/>
    <tableColumn id="3" xr3:uid="{1B4CAD92-6B73-4DA7-BB18-6DA6637D3DBF}" uniqueName="3" name="Cambio %" queryTableFieldId="3" dataDxfId="1"/>
    <tableColumn id="4" xr3:uid="{1660F8EB-D323-4E62-97BF-791E79229941}" uniqueName="4" name="Promedio" queryTableFieldId="4"/>
    <tableColumn id="5" xr3:uid="{35DFDC94-0B9C-4F8E-893A-16D469F8D4BE}" uniqueName="5" name="Mínimo" queryTableFieldId="5"/>
    <tableColumn id="6" xr3:uid="{703D8BD6-C63E-42FC-96BE-0BBCF1E8E85F}" uniqueName="6" name="Máximo" queryTableFieldId="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FE203-277B-48D9-90CF-0C02385CB388}">
  <dimension ref="A1:P13"/>
  <sheetViews>
    <sheetView tabSelected="1" workbookViewId="0">
      <selection activeCell="L16" sqref="L16"/>
    </sheetView>
  </sheetViews>
  <sheetFormatPr baseColWidth="10" defaultRowHeight="15" x14ac:dyDescent="0.25"/>
  <cols>
    <col min="1" max="1" width="10.85546875" bestFit="1" customWidth="1"/>
    <col min="2" max="2" width="10" bestFit="1" customWidth="1"/>
    <col min="3" max="3" width="9.5703125" bestFit="1" customWidth="1"/>
    <col min="4" max="4" width="37.85546875" bestFit="1" customWidth="1"/>
    <col min="5" max="5" width="21.85546875" style="3" bestFit="1" customWidth="1"/>
    <col min="6" max="7" width="23.85546875" bestFit="1" customWidth="1"/>
    <col min="10" max="10" width="9.7109375" bestFit="1" customWidth="1"/>
    <col min="11" max="11" width="13.85546875" bestFit="1" customWidth="1"/>
    <col min="12" max="12" width="20.42578125" bestFit="1" customWidth="1"/>
    <col min="13" max="13" width="14.42578125" bestFit="1" customWidth="1"/>
    <col min="14" max="14" width="15" bestFit="1" customWidth="1"/>
    <col min="15" max="15" width="13.7109375" bestFit="1" customWidth="1"/>
    <col min="16" max="16" width="23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t="s">
        <v>5</v>
      </c>
      <c r="G1" t="s">
        <v>6</v>
      </c>
      <c r="I1" s="2" t="s">
        <v>44</v>
      </c>
      <c r="J1" t="s">
        <v>43</v>
      </c>
      <c r="K1" t="s">
        <v>42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</row>
    <row r="2" spans="1:16" x14ac:dyDescent="0.25">
      <c r="A2" s="1" t="s">
        <v>7</v>
      </c>
      <c r="B2">
        <v>69751</v>
      </c>
      <c r="C2">
        <v>837012</v>
      </c>
      <c r="D2" s="1" t="s">
        <v>8</v>
      </c>
      <c r="E2" s="4" t="s">
        <v>9</v>
      </c>
      <c r="F2" s="1" t="s">
        <v>9</v>
      </c>
      <c r="G2" s="1" t="s">
        <v>10</v>
      </c>
      <c r="I2" t="str">
        <f>IF(B2&gt;70000,"UTM ALTA","UTM NORMAL")</f>
        <v>UTM NORMAL</v>
      </c>
      <c r="J2" t="str">
        <f>IF(B2&lt;70000,"BAJA",IF(B2&lt;71000,"MEDIA","ALTA"))</f>
        <v>BAJA</v>
      </c>
      <c r="K2" t="str">
        <f>IF(B3&gt;B2,"AUMENTÓ",IF(B3&lt;B2,"DISMINUYÓ","SE MANTUVO"))</f>
        <v>DISMINUYÓ</v>
      </c>
      <c r="L2" t="str">
        <f>IF(AND(B2&gt;70000,C2&gt;850000),"CUMPLE","NO CUMPLE")</f>
        <v>NO CUMPLE</v>
      </c>
      <c r="M2" t="str">
        <f>IF(OR(B2&gt;71000,C2&gt;850000),"REVISAR","NORMAL")</f>
        <v>NORMAL</v>
      </c>
      <c r="N2" t="str">
        <f>IF(NOT(B2&lt;70000),"SOBRE EL LÍMITE","BAJO EL LÍMITE")</f>
        <v>BAJO EL LÍMITE</v>
      </c>
      <c r="O2" t="str" cm="1">
        <f t="array" ref="O2">_xlfn.IFS(
B2&lt;70000,"BAJA",
B2&lt;71000,"MEDIA",
B2&lt;72000,"ALTA",
B2&gt;=72000,"MUY ALTA"
)</f>
        <v>BAJA</v>
      </c>
      <c r="P2" t="str">
        <f>IF(AND(B2&gt;=71000,C2&gt;=850000),"SITUACIÓN DE ATENCIÓN","SITUACIÓN NORMAL")</f>
        <v>SITUACIÓN NORMAL</v>
      </c>
    </row>
    <row r="3" spans="1:16" x14ac:dyDescent="0.25">
      <c r="A3" s="1" t="s">
        <v>11</v>
      </c>
      <c r="B3">
        <v>69611</v>
      </c>
      <c r="C3">
        <v>835332</v>
      </c>
      <c r="D3" s="1" t="s">
        <v>12</v>
      </c>
      <c r="E3" s="4" t="s">
        <v>13</v>
      </c>
      <c r="F3" s="1" t="s">
        <v>9</v>
      </c>
      <c r="G3" s="1" t="s">
        <v>14</v>
      </c>
      <c r="I3" t="str">
        <f t="shared" ref="I3:I13" si="0">IF(B3&gt;70000,"UTM ALTA","UTM NORMAL")</f>
        <v>UTM NORMAL</v>
      </c>
      <c r="J3" t="str">
        <f t="shared" ref="J3:J13" si="1">IF(B3&lt;70000,"BAJA",IF(B3&lt;71000,"MEDIA","ALTA"))</f>
        <v>BAJA</v>
      </c>
      <c r="K3" t="str">
        <f>IF(B4&gt;B3,"AUMENTÓ",IF(B4&lt;B3,"DISMINUYÓ","SE MANTUVO"))</f>
        <v>AUMENTÓ</v>
      </c>
      <c r="L3" t="str">
        <f t="shared" ref="L3:L13" si="2">IF(AND(B3&gt;70000,C3&gt;850000),"CUMPLE","NO CUMPLE")</f>
        <v>NO CUMPLE</v>
      </c>
      <c r="M3" t="str">
        <f t="shared" ref="M3:M13" si="3">IF(OR(B3&gt;71000,C3&gt;850000),"REVISAR","NORMAL")</f>
        <v>NORMAL</v>
      </c>
      <c r="N3" t="str">
        <f t="shared" ref="N3:N13" si="4">IF(NOT(B3&lt;70000),"SOBRE EL LÍMITE","BAJO EL LÍMITE")</f>
        <v>BAJO EL LÍMITE</v>
      </c>
      <c r="O3" t="str" cm="1">
        <f t="array" ref="O3">_xlfn.IFS(
B3&lt;70000,"BAJA",
B3&lt;71000,"MEDIA",
B3&lt;72000,"ALTA",
B3&gt;=72000,"MUY ALTA"
)</f>
        <v>BAJA</v>
      </c>
      <c r="P3" t="str">
        <f t="shared" ref="P3:P12" si="5">IF(AND(B3&gt;=71000,C3&gt;=850000),"SITUACIÓN DE ATENCIÓN","SITUACIÓN NORMAL")</f>
        <v>SITUACIÓN NORMAL</v>
      </c>
    </row>
    <row r="4" spans="1:16" x14ac:dyDescent="0.25">
      <c r="A4" s="1" t="s">
        <v>15</v>
      </c>
      <c r="B4">
        <v>69889</v>
      </c>
      <c r="C4">
        <v>838668</v>
      </c>
      <c r="D4" s="1" t="s">
        <v>16</v>
      </c>
      <c r="E4" s="4" t="s">
        <v>17</v>
      </c>
      <c r="F4" s="1" t="s">
        <v>18</v>
      </c>
      <c r="G4" s="1" t="s">
        <v>10</v>
      </c>
      <c r="I4" t="str">
        <f t="shared" si="0"/>
        <v>UTM NORMAL</v>
      </c>
      <c r="J4" t="str">
        <f t="shared" si="1"/>
        <v>BAJA</v>
      </c>
      <c r="K4" t="str">
        <f t="shared" ref="K3:K13" si="6">IF(B5&gt;B4,"AUMENTÓ",IF(B5&lt;B4,"DISMINUYÓ","SE MANTUVO"))</f>
        <v>SE MANTUVO</v>
      </c>
      <c r="L4" t="str">
        <f t="shared" si="2"/>
        <v>NO CUMPLE</v>
      </c>
      <c r="M4" t="str">
        <f t="shared" si="3"/>
        <v>NORMAL</v>
      </c>
      <c r="N4" t="str">
        <f t="shared" si="4"/>
        <v>BAJO EL LÍMITE</v>
      </c>
      <c r="O4" t="str" cm="1">
        <f t="array" ref="O4">_xlfn.IFS(
B4&lt;70000,"BAJA",
B4&lt;71000,"MEDIA",
B4&lt;72000,"ALTA",
B4&gt;=72000,"MUY ALTA"
)</f>
        <v>BAJA</v>
      </c>
      <c r="P4" t="str">
        <f t="shared" si="5"/>
        <v>SITUACIÓN NORMAL</v>
      </c>
    </row>
    <row r="5" spans="1:16" x14ac:dyDescent="0.25">
      <c r="A5" s="1" t="s">
        <v>19</v>
      </c>
      <c r="B5">
        <v>69889</v>
      </c>
      <c r="C5">
        <v>838668</v>
      </c>
      <c r="D5" s="1" t="s">
        <v>20</v>
      </c>
      <c r="E5" s="4" t="s">
        <v>21</v>
      </c>
      <c r="F5" s="1" t="s">
        <v>22</v>
      </c>
      <c r="G5" s="1" t="s">
        <v>23</v>
      </c>
      <c r="I5" t="str">
        <f t="shared" si="0"/>
        <v>UTM NORMAL</v>
      </c>
      <c r="J5" t="str">
        <f t="shared" si="1"/>
        <v>BAJA</v>
      </c>
      <c r="K5" t="str">
        <f t="shared" si="6"/>
        <v>AUMENTÓ</v>
      </c>
      <c r="L5" t="str">
        <f t="shared" si="2"/>
        <v>NO CUMPLE</v>
      </c>
      <c r="M5" t="str">
        <f t="shared" si="3"/>
        <v>NORMAL</v>
      </c>
      <c r="N5" t="str">
        <f t="shared" si="4"/>
        <v>BAJO EL LÍMITE</v>
      </c>
      <c r="O5" t="str" cm="1">
        <f t="array" ref="O5">_xlfn.IFS(
B5&lt;70000,"BAJA",
B5&lt;71000,"MEDIA",
B5&lt;72000,"ALTA",
B5&gt;=72000,"MUY ALTA"
)</f>
        <v>BAJA</v>
      </c>
      <c r="P5" t="str">
        <f t="shared" si="5"/>
        <v>SITUACIÓN NORMAL</v>
      </c>
    </row>
    <row r="6" spans="1:16" x14ac:dyDescent="0.25">
      <c r="A6" s="1" t="s">
        <v>24</v>
      </c>
      <c r="B6">
        <v>70588</v>
      </c>
      <c r="C6">
        <v>847056</v>
      </c>
      <c r="D6" s="1" t="s">
        <v>25</v>
      </c>
      <c r="E6" s="4" t="s">
        <v>26</v>
      </c>
      <c r="F6" s="1" t="s">
        <v>10</v>
      </c>
      <c r="G6" s="1" t="s">
        <v>27</v>
      </c>
      <c r="I6" t="str">
        <f t="shared" si="0"/>
        <v>UTM ALTA</v>
      </c>
      <c r="J6" t="str">
        <f t="shared" si="1"/>
        <v>MEDIA</v>
      </c>
      <c r="K6" t="str">
        <f t="shared" si="6"/>
        <v>AUMENTÓ</v>
      </c>
      <c r="L6" t="str">
        <f t="shared" si="2"/>
        <v>NO CUMPLE</v>
      </c>
      <c r="M6" t="str">
        <f>IF(OR(B6&gt;71000,C6&gt;850000),"REVISAR","NORMAL")</f>
        <v>NORMAL</v>
      </c>
      <c r="N6" t="str">
        <f t="shared" si="4"/>
        <v>SOBRE EL LÍMITE</v>
      </c>
      <c r="O6" t="str" cm="1">
        <f t="array" ref="O6">_xlfn.IFS(
B6&lt;70000,"BAJA",
B6&lt;71000,"MEDIA",
B6&lt;72000,"ALTA",
B6&gt;=72000,"MUY ALTA"
)</f>
        <v>MEDIA</v>
      </c>
      <c r="P6" t="str">
        <f t="shared" si="5"/>
        <v>SITUACIÓN NORMAL</v>
      </c>
    </row>
    <row r="7" spans="1:16" x14ac:dyDescent="0.25">
      <c r="A7" s="1" t="s">
        <v>28</v>
      </c>
      <c r="B7">
        <v>71506</v>
      </c>
      <c r="C7">
        <v>858072</v>
      </c>
      <c r="D7" s="1" t="s">
        <v>29</v>
      </c>
      <c r="E7" s="4" t="s">
        <v>13</v>
      </c>
      <c r="F7" s="1" t="s">
        <v>10</v>
      </c>
      <c r="G7" s="1" t="s">
        <v>30</v>
      </c>
      <c r="I7" t="str">
        <f t="shared" si="0"/>
        <v>UTM ALTA</v>
      </c>
      <c r="J7" t="str">
        <f t="shared" si="1"/>
        <v>ALTA</v>
      </c>
      <c r="K7" t="str">
        <f t="shared" si="6"/>
        <v>AUMENTÓ</v>
      </c>
      <c r="L7" t="str">
        <f t="shared" si="2"/>
        <v>CUMPLE</v>
      </c>
      <c r="M7" t="str">
        <f>IF(OR(B7&gt;71000,C7&gt;850000),"REVISAR","NORMAL")</f>
        <v>REVISAR</v>
      </c>
      <c r="N7" t="str">
        <f t="shared" si="4"/>
        <v>SOBRE EL LÍMITE</v>
      </c>
      <c r="O7" t="str" cm="1">
        <f t="array" ref="O7">_xlfn.IFS(
B7&lt;70000,"BAJA",
B7&lt;71000,"MEDIA",
B7&lt;72000,"ALTA",
B7&gt;=72000,"MUY ALTA"
)</f>
        <v>ALTA</v>
      </c>
      <c r="P7" t="str">
        <f>IF(AND(B7&gt;=71000,C7&gt;=850000),"SITUACIÓN DE ATENCIÓN","SITUACIÓN NORMAL")</f>
        <v>SITUACIÓN DE ATENCIÓN</v>
      </c>
    </row>
    <row r="8" spans="1:16" x14ac:dyDescent="0.25">
      <c r="A8" s="1" t="s">
        <v>31</v>
      </c>
      <c r="B8">
        <v>71649</v>
      </c>
      <c r="C8">
        <v>859788</v>
      </c>
      <c r="D8" s="1" t="s">
        <v>32</v>
      </c>
      <c r="E8" s="4" t="s">
        <v>33</v>
      </c>
      <c r="F8" s="1" t="s">
        <v>34</v>
      </c>
      <c r="G8" s="1" t="s">
        <v>35</v>
      </c>
      <c r="I8" t="str">
        <f t="shared" si="0"/>
        <v>UTM ALTA</v>
      </c>
      <c r="J8" t="str">
        <f t="shared" si="1"/>
        <v>ALTA</v>
      </c>
      <c r="K8" t="str">
        <f t="shared" si="6"/>
        <v>SE MANTUVO</v>
      </c>
      <c r="L8" t="str">
        <f t="shared" si="2"/>
        <v>CUMPLE</v>
      </c>
      <c r="M8" t="str">
        <f t="shared" si="3"/>
        <v>REVISAR</v>
      </c>
      <c r="N8" t="str">
        <f t="shared" si="4"/>
        <v>SOBRE EL LÍMITE</v>
      </c>
      <c r="O8" t="str" cm="1">
        <f t="array" ref="O8">_xlfn.IFS(
B8&lt;70000,"BAJA",
B8&lt;71000,"MEDIA",
B8&lt;72000,"ALTA",
B8&gt;=72000,"MUY ALTA"
)</f>
        <v>ALTA</v>
      </c>
      <c r="P8" t="str">
        <f t="shared" si="5"/>
        <v>SITUACIÓN DE ATENCIÓN</v>
      </c>
    </row>
    <row r="9" spans="1:16" x14ac:dyDescent="0.25">
      <c r="A9" s="1" t="s">
        <v>36</v>
      </c>
      <c r="B9">
        <v>71649</v>
      </c>
      <c r="C9">
        <v>859788</v>
      </c>
      <c r="D9" s="1" t="s">
        <v>37</v>
      </c>
      <c r="E9" s="3" t="s">
        <v>37</v>
      </c>
      <c r="F9" s="1" t="s">
        <v>37</v>
      </c>
      <c r="G9" s="1" t="s">
        <v>37</v>
      </c>
      <c r="I9" t="str">
        <f t="shared" si="0"/>
        <v>UTM ALTA</v>
      </c>
      <c r="J9" t="str">
        <f t="shared" si="1"/>
        <v>ALTA</v>
      </c>
      <c r="K9" t="str">
        <f t="shared" si="6"/>
        <v>AUMENTÓ</v>
      </c>
      <c r="L9" t="str">
        <f t="shared" si="2"/>
        <v>CUMPLE</v>
      </c>
      <c r="M9" t="str">
        <f t="shared" si="3"/>
        <v>REVISAR</v>
      </c>
      <c r="N9" t="str">
        <f t="shared" si="4"/>
        <v>SOBRE EL LÍMITE</v>
      </c>
      <c r="O9" t="str" cm="1">
        <f t="array" ref="O9">_xlfn.IFS(
B9&lt;70000,"BAJA",
B9&lt;71000,"MEDIA",
B9&lt;72000,"ALTA",
B9&gt;=72000,"MUY ALTA"
)</f>
        <v>ALTA</v>
      </c>
      <c r="P9" t="str">
        <f t="shared" si="5"/>
        <v>SITUACIÓN DE ATENCIÓN</v>
      </c>
    </row>
    <row r="10" spans="1:16" x14ac:dyDescent="0.25">
      <c r="A10" s="1" t="s">
        <v>38</v>
      </c>
      <c r="B10">
        <v>71721</v>
      </c>
      <c r="C10">
        <v>860652</v>
      </c>
      <c r="D10" s="1" t="s">
        <v>37</v>
      </c>
      <c r="E10" s="3" t="s">
        <v>37</v>
      </c>
      <c r="F10" s="1" t="s">
        <v>37</v>
      </c>
      <c r="G10" s="1" t="s">
        <v>37</v>
      </c>
      <c r="I10" t="str">
        <f t="shared" si="0"/>
        <v>UTM ALTA</v>
      </c>
      <c r="J10" t="str">
        <f t="shared" si="1"/>
        <v>ALTA</v>
      </c>
      <c r="K10" t="str">
        <f t="shared" si="6"/>
        <v>DISMINUYÓ</v>
      </c>
      <c r="L10" t="str">
        <f t="shared" si="2"/>
        <v>CUMPLE</v>
      </c>
      <c r="M10" t="str">
        <f t="shared" si="3"/>
        <v>REVISAR</v>
      </c>
      <c r="N10" t="str">
        <f t="shared" si="4"/>
        <v>SOBRE EL LÍMITE</v>
      </c>
      <c r="O10" t="str" cm="1">
        <f t="array" ref="O10">_xlfn.IFS(
B10&lt;70000,"BAJA",
B10&lt;71000,"MEDIA",
B10&lt;72000,"ALTA",
B10&gt;=72000,"MUY ALTA"
)</f>
        <v>ALTA</v>
      </c>
      <c r="P10" t="str">
        <f t="shared" si="5"/>
        <v>SITUACIÓN DE ATENCIÓN</v>
      </c>
    </row>
    <row r="11" spans="1:16" x14ac:dyDescent="0.25">
      <c r="A11" s="1" t="s">
        <v>39</v>
      </c>
      <c r="D11" s="1" t="s">
        <v>37</v>
      </c>
      <c r="E11" s="3" t="s">
        <v>37</v>
      </c>
      <c r="F11" s="1" t="s">
        <v>37</v>
      </c>
      <c r="G11" s="1" t="s">
        <v>37</v>
      </c>
      <c r="I11" t="str">
        <f t="shared" si="0"/>
        <v>UTM NORMAL</v>
      </c>
      <c r="J11" t="str">
        <f t="shared" si="1"/>
        <v>BAJA</v>
      </c>
      <c r="K11" t="str">
        <f t="shared" si="6"/>
        <v>SE MANTUVO</v>
      </c>
      <c r="L11" t="str">
        <f t="shared" si="2"/>
        <v>NO CUMPLE</v>
      </c>
      <c r="M11" t="str">
        <f t="shared" si="3"/>
        <v>NORMAL</v>
      </c>
      <c r="N11" t="str">
        <f t="shared" si="4"/>
        <v>BAJO EL LÍMITE</v>
      </c>
      <c r="O11" t="str" cm="1">
        <f t="array" ref="O11">_xlfn.IFS(
B11&lt;70000,"BAJA",
B11&lt;71000,"MEDIA",
B11&lt;72000,"ALTA",
B11&gt;=72000,"MUY ALTA"
)</f>
        <v>BAJA</v>
      </c>
      <c r="P11" t="str">
        <f t="shared" si="5"/>
        <v>SITUACIÓN NORMAL</v>
      </c>
    </row>
    <row r="12" spans="1:16" x14ac:dyDescent="0.25">
      <c r="A12" s="1" t="s">
        <v>40</v>
      </c>
      <c r="D12" s="1" t="s">
        <v>37</v>
      </c>
      <c r="E12" s="3" t="s">
        <v>37</v>
      </c>
      <c r="F12" s="1" t="s">
        <v>37</v>
      </c>
      <c r="G12" s="1" t="s">
        <v>37</v>
      </c>
      <c r="I12" t="str">
        <f t="shared" si="0"/>
        <v>UTM NORMAL</v>
      </c>
      <c r="J12" t="str">
        <f>IF(B12&lt;70000,"BAJA",IF(B12&lt;71000,"MEDIA","ALTA"))</f>
        <v>BAJA</v>
      </c>
      <c r="K12" t="str">
        <f t="shared" si="6"/>
        <v>SE MANTUVO</v>
      </c>
      <c r="L12" t="str">
        <f t="shared" si="2"/>
        <v>NO CUMPLE</v>
      </c>
      <c r="M12" t="str">
        <f t="shared" si="3"/>
        <v>NORMAL</v>
      </c>
      <c r="N12" t="str">
        <f t="shared" si="4"/>
        <v>BAJO EL LÍMITE</v>
      </c>
      <c r="O12" t="str" cm="1">
        <f t="array" ref="O12">_xlfn.IFS(
B12&lt;70000,"BAJA",
B12&lt;71000,"MEDIA",
B12&lt;72000,"ALTA",
B12&gt;=72000,"MUY ALTA"
)</f>
        <v>BAJA</v>
      </c>
      <c r="P12" t="str">
        <f t="shared" si="5"/>
        <v>SITUACIÓN NORMAL</v>
      </c>
    </row>
    <row r="13" spans="1:16" x14ac:dyDescent="0.25">
      <c r="A13" s="1" t="s">
        <v>41</v>
      </c>
      <c r="D13" s="1" t="s">
        <v>37</v>
      </c>
      <c r="E13" s="3" t="s">
        <v>37</v>
      </c>
      <c r="F13" s="1" t="s">
        <v>37</v>
      </c>
      <c r="G13" s="1" t="s">
        <v>37</v>
      </c>
      <c r="I13" t="str">
        <f t="shared" si="0"/>
        <v>UTM NORMAL</v>
      </c>
      <c r="J13" t="str">
        <f t="shared" si="1"/>
        <v>BAJA</v>
      </c>
      <c r="K13" t="str">
        <f t="shared" si="6"/>
        <v>SE MANTUVO</v>
      </c>
      <c r="L13" t="str">
        <f t="shared" si="2"/>
        <v>NO CUMPLE</v>
      </c>
      <c r="M13" t="str">
        <f t="shared" si="3"/>
        <v>NORMAL</v>
      </c>
      <c r="N13" t="str">
        <f t="shared" si="4"/>
        <v>BAJO EL LÍMITE</v>
      </c>
      <c r="O13" t="str" cm="1">
        <f t="array" ref="O13">_xlfn.IFS(
B13&lt;70000,"BAJA",
B13&lt;71000,"MEDIA",
B13&lt;72000,"ALTA",
B13&gt;=72000,"MUY ALTA"
)</f>
        <v>BAJA</v>
      </c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A5931-E8ED-42FC-B18C-D0CC42F6A834}">
  <dimension ref="A1:K37"/>
  <sheetViews>
    <sheetView workbookViewId="0">
      <selection activeCell="H20" sqref="H20"/>
    </sheetView>
  </sheetViews>
  <sheetFormatPr baseColWidth="10" defaultRowHeight="15" x14ac:dyDescent="0.25"/>
  <cols>
    <col min="1" max="1" width="6.7109375" bestFit="1" customWidth="1"/>
    <col min="2" max="2" width="15.140625" bestFit="1" customWidth="1"/>
    <col min="3" max="3" width="12.28515625" bestFit="1" customWidth="1"/>
    <col min="4" max="4" width="12" bestFit="1" customWidth="1"/>
    <col min="5" max="5" width="10" bestFit="1" customWidth="1"/>
    <col min="6" max="6" width="10.28515625" bestFit="1" customWidth="1"/>
    <col min="9" max="9" width="12.42578125" bestFit="1" customWidth="1"/>
    <col min="10" max="10" width="14" bestFit="1" customWidth="1"/>
    <col min="11" max="11" width="19.28515625" bestFit="1" customWidth="1"/>
  </cols>
  <sheetData>
    <row r="1" spans="1:11" x14ac:dyDescent="0.25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I1" t="s">
        <v>128</v>
      </c>
      <c r="J1" t="s">
        <v>129</v>
      </c>
      <c r="K1" t="s">
        <v>130</v>
      </c>
    </row>
    <row r="2" spans="1:11" x14ac:dyDescent="0.25">
      <c r="A2">
        <v>2026</v>
      </c>
      <c r="B2">
        <v>91522</v>
      </c>
      <c r="C2" s="1" t="s">
        <v>56</v>
      </c>
      <c r="D2">
        <v>90143</v>
      </c>
      <c r="E2">
        <v>85041</v>
      </c>
      <c r="F2" s="1" t="s">
        <v>57</v>
      </c>
      <c r="I2" t="str">
        <f>_xlfn.XLOOKUP(2025,A2:A37,F2:F37)</f>
        <v>1,019.79</v>
      </c>
      <c r="J2">
        <f>VLOOKUP(2025,A2:F32,4,FALSE)</f>
        <v>94997</v>
      </c>
      <c r="K2">
        <f>HLOOKUP("Promedio",B1:E37,3,FALSE)</f>
        <v>94997</v>
      </c>
    </row>
    <row r="3" spans="1:11" x14ac:dyDescent="0.25">
      <c r="A3">
        <v>2025</v>
      </c>
      <c r="B3">
        <v>90059</v>
      </c>
      <c r="C3" s="1" t="s">
        <v>58</v>
      </c>
      <c r="D3">
        <v>94997</v>
      </c>
      <c r="E3">
        <v>89748</v>
      </c>
      <c r="F3" s="1" t="s">
        <v>59</v>
      </c>
    </row>
    <row r="4" spans="1:11" x14ac:dyDescent="0.25">
      <c r="A4">
        <v>2024</v>
      </c>
      <c r="B4">
        <v>99385</v>
      </c>
      <c r="C4" s="1" t="s">
        <v>60</v>
      </c>
      <c r="D4">
        <v>94544</v>
      </c>
      <c r="E4">
        <v>87440</v>
      </c>
      <c r="F4" s="1" t="s">
        <v>61</v>
      </c>
    </row>
    <row r="5" spans="1:11" x14ac:dyDescent="0.25">
      <c r="A5">
        <v>2023</v>
      </c>
      <c r="B5">
        <v>88101</v>
      </c>
      <c r="C5" s="1" t="s">
        <v>62</v>
      </c>
      <c r="D5">
        <v>84018</v>
      </c>
      <c r="E5">
        <v>77630</v>
      </c>
      <c r="F5" s="1" t="s">
        <v>63</v>
      </c>
    </row>
    <row r="6" spans="1:11" x14ac:dyDescent="0.25">
      <c r="A6">
        <v>2022</v>
      </c>
      <c r="B6">
        <v>84825</v>
      </c>
      <c r="C6" s="1" t="s">
        <v>64</v>
      </c>
      <c r="D6">
        <v>87292</v>
      </c>
      <c r="E6">
        <v>77150</v>
      </c>
      <c r="F6" s="1" t="s">
        <v>65</v>
      </c>
    </row>
    <row r="7" spans="1:11" x14ac:dyDescent="0.25">
      <c r="A7">
        <v>2021</v>
      </c>
      <c r="B7">
        <v>85110</v>
      </c>
      <c r="C7" s="1" t="s">
        <v>66</v>
      </c>
      <c r="D7">
        <v>76013</v>
      </c>
      <c r="E7">
        <v>69028</v>
      </c>
      <c r="F7" s="1" t="s">
        <v>67</v>
      </c>
    </row>
    <row r="8" spans="1:11" x14ac:dyDescent="0.25">
      <c r="A8">
        <v>2020</v>
      </c>
      <c r="B8">
        <v>70975</v>
      </c>
      <c r="C8" s="1" t="s">
        <v>68</v>
      </c>
      <c r="D8">
        <v>79119</v>
      </c>
      <c r="E8">
        <v>70549</v>
      </c>
      <c r="F8" s="1" t="s">
        <v>69</v>
      </c>
    </row>
    <row r="9" spans="1:11" x14ac:dyDescent="0.25">
      <c r="A9">
        <v>2019</v>
      </c>
      <c r="B9">
        <v>75150</v>
      </c>
      <c r="C9" s="1" t="s">
        <v>70</v>
      </c>
      <c r="D9">
        <v>70288</v>
      </c>
      <c r="E9">
        <v>64730</v>
      </c>
      <c r="F9" s="1" t="s">
        <v>71</v>
      </c>
    </row>
    <row r="10" spans="1:11" x14ac:dyDescent="0.25">
      <c r="A10">
        <v>2018</v>
      </c>
      <c r="B10">
        <v>69400</v>
      </c>
      <c r="C10" s="1" t="s">
        <v>72</v>
      </c>
      <c r="D10">
        <v>64213</v>
      </c>
      <c r="E10">
        <v>58700</v>
      </c>
      <c r="F10" s="1" t="s">
        <v>73</v>
      </c>
    </row>
    <row r="11" spans="1:11" x14ac:dyDescent="0.25">
      <c r="A11">
        <v>2017</v>
      </c>
      <c r="B11">
        <v>61540</v>
      </c>
      <c r="C11" s="1" t="s">
        <v>74</v>
      </c>
      <c r="D11">
        <v>64892</v>
      </c>
      <c r="E11">
        <v>61300</v>
      </c>
      <c r="F11" s="1" t="s">
        <v>75</v>
      </c>
    </row>
    <row r="12" spans="1:11" x14ac:dyDescent="0.25">
      <c r="A12">
        <v>2016</v>
      </c>
      <c r="B12">
        <v>66979</v>
      </c>
      <c r="C12" s="1" t="s">
        <v>76</v>
      </c>
      <c r="D12">
        <v>67645</v>
      </c>
      <c r="E12">
        <v>64214</v>
      </c>
      <c r="F12" s="1" t="s">
        <v>77</v>
      </c>
    </row>
    <row r="13" spans="1:11" x14ac:dyDescent="0.25">
      <c r="A13">
        <v>2015</v>
      </c>
      <c r="B13">
        <v>70860</v>
      </c>
      <c r="C13" s="1" t="s">
        <v>78</v>
      </c>
      <c r="D13">
        <v>65459</v>
      </c>
      <c r="E13">
        <v>59250</v>
      </c>
      <c r="F13" s="1" t="s">
        <v>79</v>
      </c>
    </row>
    <row r="14" spans="1:11" x14ac:dyDescent="0.25">
      <c r="A14">
        <v>2014</v>
      </c>
      <c r="B14">
        <v>60690</v>
      </c>
      <c r="C14" s="1" t="s">
        <v>80</v>
      </c>
      <c r="D14">
        <v>57079</v>
      </c>
      <c r="E14">
        <v>52532</v>
      </c>
      <c r="F14" s="1" t="s">
        <v>81</v>
      </c>
    </row>
    <row r="15" spans="1:11" x14ac:dyDescent="0.25">
      <c r="A15">
        <v>2013</v>
      </c>
      <c r="B15">
        <v>52545</v>
      </c>
      <c r="C15" s="1" t="s">
        <v>82</v>
      </c>
      <c r="D15">
        <v>49556</v>
      </c>
      <c r="E15">
        <v>46540</v>
      </c>
      <c r="F15" s="1" t="s">
        <v>83</v>
      </c>
    </row>
    <row r="16" spans="1:11" x14ac:dyDescent="0.25">
      <c r="A16">
        <v>2012</v>
      </c>
      <c r="B16">
        <v>47871</v>
      </c>
      <c r="C16" s="1" t="s">
        <v>84</v>
      </c>
      <c r="D16">
        <v>48629</v>
      </c>
      <c r="E16">
        <v>46670</v>
      </c>
      <c r="F16" s="1" t="s">
        <v>85</v>
      </c>
    </row>
    <row r="17" spans="1:6" x14ac:dyDescent="0.25">
      <c r="A17">
        <v>2011</v>
      </c>
      <c r="B17">
        <v>51950</v>
      </c>
      <c r="C17" s="1" t="s">
        <v>86</v>
      </c>
      <c r="D17">
        <v>48365</v>
      </c>
      <c r="E17">
        <v>45490</v>
      </c>
      <c r="F17" s="1" t="s">
        <v>87</v>
      </c>
    </row>
    <row r="18" spans="1:6" x14ac:dyDescent="0.25">
      <c r="A18">
        <v>2010</v>
      </c>
      <c r="B18">
        <v>46800</v>
      </c>
      <c r="C18" s="1" t="s">
        <v>88</v>
      </c>
      <c r="D18">
        <v>50990</v>
      </c>
      <c r="E18">
        <v>46700</v>
      </c>
      <c r="F18" s="1" t="s">
        <v>89</v>
      </c>
    </row>
    <row r="19" spans="1:6" x14ac:dyDescent="0.25">
      <c r="A19">
        <v>2009</v>
      </c>
      <c r="B19">
        <v>50745</v>
      </c>
      <c r="C19" s="1" t="s">
        <v>90</v>
      </c>
      <c r="D19">
        <v>55908</v>
      </c>
      <c r="E19">
        <v>48580</v>
      </c>
      <c r="F19" s="1" t="s">
        <v>91</v>
      </c>
    </row>
    <row r="20" spans="1:6" x14ac:dyDescent="0.25">
      <c r="A20">
        <v>2008</v>
      </c>
      <c r="B20">
        <v>63800</v>
      </c>
      <c r="C20" s="1" t="s">
        <v>92</v>
      </c>
      <c r="D20">
        <v>52367</v>
      </c>
      <c r="E20">
        <v>42910</v>
      </c>
      <c r="F20" s="1" t="s">
        <v>93</v>
      </c>
    </row>
    <row r="21" spans="1:6" x14ac:dyDescent="0.25">
      <c r="A21">
        <v>2007</v>
      </c>
      <c r="B21">
        <v>49795</v>
      </c>
      <c r="C21" s="1" t="s">
        <v>94</v>
      </c>
      <c r="D21">
        <v>52213</v>
      </c>
      <c r="E21">
        <v>49170</v>
      </c>
      <c r="F21" s="1" t="s">
        <v>95</v>
      </c>
    </row>
    <row r="22" spans="1:6" x14ac:dyDescent="0.25">
      <c r="A22">
        <v>2006</v>
      </c>
      <c r="B22">
        <v>53235</v>
      </c>
      <c r="C22" s="1" t="s">
        <v>96</v>
      </c>
      <c r="D22">
        <v>53052</v>
      </c>
      <c r="E22">
        <v>50880</v>
      </c>
      <c r="F22" s="1" t="s">
        <v>97</v>
      </c>
    </row>
    <row r="23" spans="1:6" x14ac:dyDescent="0.25">
      <c r="A23">
        <v>2005</v>
      </c>
      <c r="B23">
        <v>51430</v>
      </c>
      <c r="C23" s="1" t="s">
        <v>98</v>
      </c>
      <c r="D23">
        <v>55955</v>
      </c>
      <c r="E23">
        <v>50800</v>
      </c>
      <c r="F23" s="1" t="s">
        <v>99</v>
      </c>
    </row>
    <row r="24" spans="1:6" x14ac:dyDescent="0.25">
      <c r="A24">
        <v>2004</v>
      </c>
      <c r="B24">
        <v>55575</v>
      </c>
      <c r="C24" s="1" t="s">
        <v>100</v>
      </c>
      <c r="D24">
        <v>60924</v>
      </c>
      <c r="E24">
        <v>55550</v>
      </c>
      <c r="F24" s="1" t="s">
        <v>101</v>
      </c>
    </row>
    <row r="25" spans="1:6" x14ac:dyDescent="0.25">
      <c r="A25">
        <v>2003</v>
      </c>
      <c r="B25">
        <v>59312</v>
      </c>
      <c r="C25" s="1" t="s">
        <v>102</v>
      </c>
      <c r="D25">
        <v>68998</v>
      </c>
      <c r="E25">
        <v>59000</v>
      </c>
      <c r="F25" s="1" t="s">
        <v>103</v>
      </c>
    </row>
    <row r="26" spans="1:6" x14ac:dyDescent="0.25">
      <c r="A26">
        <v>2002</v>
      </c>
      <c r="B26">
        <v>72025</v>
      </c>
      <c r="C26" s="1" t="s">
        <v>104</v>
      </c>
      <c r="D26">
        <v>68955</v>
      </c>
      <c r="E26">
        <v>63880</v>
      </c>
      <c r="F26" s="1" t="s">
        <v>105</v>
      </c>
    </row>
    <row r="27" spans="1:6" x14ac:dyDescent="0.25">
      <c r="A27">
        <v>2001</v>
      </c>
      <c r="B27">
        <v>66115</v>
      </c>
      <c r="C27" s="1" t="s">
        <v>106</v>
      </c>
      <c r="D27">
        <v>63588</v>
      </c>
      <c r="E27">
        <v>55590</v>
      </c>
      <c r="F27" s="1" t="s">
        <v>107</v>
      </c>
    </row>
    <row r="28" spans="1:6" x14ac:dyDescent="0.25">
      <c r="A28">
        <v>2000</v>
      </c>
      <c r="B28">
        <v>57375</v>
      </c>
      <c r="C28" s="1" t="s">
        <v>108</v>
      </c>
      <c r="D28">
        <v>53969</v>
      </c>
      <c r="E28">
        <v>50010</v>
      </c>
      <c r="F28" s="1" t="s">
        <v>109</v>
      </c>
    </row>
    <row r="29" spans="1:6" x14ac:dyDescent="0.25">
      <c r="A29">
        <v>1999</v>
      </c>
      <c r="B29">
        <v>52975</v>
      </c>
      <c r="C29" s="1" t="s">
        <v>110</v>
      </c>
      <c r="D29">
        <v>50915</v>
      </c>
      <c r="E29">
        <v>46770</v>
      </c>
      <c r="F29" s="1" t="s">
        <v>111</v>
      </c>
    </row>
    <row r="30" spans="1:6" x14ac:dyDescent="0.25">
      <c r="A30">
        <v>1998</v>
      </c>
      <c r="B30">
        <v>47325</v>
      </c>
      <c r="C30" s="1" t="s">
        <v>112</v>
      </c>
      <c r="D30">
        <v>46025</v>
      </c>
      <c r="E30">
        <v>43850</v>
      </c>
      <c r="F30" s="1" t="s">
        <v>113</v>
      </c>
    </row>
    <row r="31" spans="1:6" x14ac:dyDescent="0.25">
      <c r="A31">
        <v>1997</v>
      </c>
      <c r="B31">
        <v>43850</v>
      </c>
      <c r="C31" s="1" t="s">
        <v>114</v>
      </c>
      <c r="D31">
        <v>41929</v>
      </c>
      <c r="E31">
        <v>41130</v>
      </c>
      <c r="F31" s="1" t="s">
        <v>115</v>
      </c>
    </row>
    <row r="32" spans="1:6" x14ac:dyDescent="0.25">
      <c r="A32">
        <v>1996</v>
      </c>
      <c r="B32">
        <v>42435</v>
      </c>
      <c r="C32" s="1" t="s">
        <v>116</v>
      </c>
      <c r="D32">
        <v>41215</v>
      </c>
      <c r="E32">
        <v>40155</v>
      </c>
      <c r="F32" s="1" t="s">
        <v>117</v>
      </c>
    </row>
    <row r="33" spans="1:6" x14ac:dyDescent="0.25">
      <c r="A33">
        <v>1995</v>
      </c>
      <c r="B33">
        <v>40625</v>
      </c>
      <c r="C33" s="1" t="s">
        <v>118</v>
      </c>
      <c r="D33">
        <v>39660</v>
      </c>
      <c r="E33">
        <v>36640</v>
      </c>
      <c r="F33" s="1" t="s">
        <v>119</v>
      </c>
    </row>
    <row r="34" spans="1:6" x14ac:dyDescent="0.25">
      <c r="A34">
        <v>1994</v>
      </c>
      <c r="B34">
        <v>40105</v>
      </c>
      <c r="C34" s="1" t="s">
        <v>120</v>
      </c>
      <c r="D34">
        <v>41986</v>
      </c>
      <c r="E34">
        <v>39700</v>
      </c>
      <c r="F34" s="1" t="s">
        <v>121</v>
      </c>
    </row>
    <row r="35" spans="1:6" x14ac:dyDescent="0.25">
      <c r="A35">
        <v>1993</v>
      </c>
      <c r="B35">
        <v>42850</v>
      </c>
      <c r="C35" s="1" t="s">
        <v>122</v>
      </c>
      <c r="D35">
        <v>40788</v>
      </c>
      <c r="E35">
        <v>38250</v>
      </c>
      <c r="F35" s="1" t="s">
        <v>123</v>
      </c>
    </row>
    <row r="36" spans="1:6" x14ac:dyDescent="0.25">
      <c r="A36">
        <v>1992</v>
      </c>
      <c r="B36">
        <v>38150</v>
      </c>
      <c r="C36" s="1" t="s">
        <v>124</v>
      </c>
      <c r="D36">
        <v>36687</v>
      </c>
      <c r="E36">
        <v>34700</v>
      </c>
      <c r="F36" s="1" t="s">
        <v>125</v>
      </c>
    </row>
    <row r="37" spans="1:6" x14ac:dyDescent="0.25">
      <c r="A37">
        <v>1991</v>
      </c>
      <c r="B37">
        <v>37900</v>
      </c>
      <c r="C37" s="1" t="s">
        <v>126</v>
      </c>
      <c r="D37">
        <v>35076</v>
      </c>
      <c r="E37">
        <v>33150</v>
      </c>
      <c r="F37" s="1" t="s">
        <v>127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DEA85C-69ED-44D7-B46B-AC0F4920DE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 1</vt:lpstr>
      <vt:lpstr>Tabla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DIMAO</dc:creator>
  <cp:lastModifiedBy>DIMAO</cp:lastModifiedBy>
  <dcterms:created xsi:type="dcterms:W3CDTF">2026-08-24T12:58:39Z</dcterms:created>
  <dcterms:modified xsi:type="dcterms:W3CDTF">2026-08-24T16:10:19Z</dcterms:modified>
</cp:coreProperties>
</file>